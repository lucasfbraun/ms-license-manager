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Planilha1!$A$1:$S$192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<sst xmlns="http://schemas.openxmlformats.org/spreadsheetml/2006/main" count="2026" uniqueCount="699">
  <si>
    <t xml:space="preserve">empresa</t>
  </si>
  <si>
    <t xml:space="preserve">nomeColaborador</t>
  </si>
  <si>
    <t xml:space="preserve">email</t>
  </si>
  <si>
    <t xml:space="preserve">DataCriacaoEmail</t>
  </si>
  <si>
    <t xml:space="preserve">DataCriacaoFormatada</t>
  </si>
  <si>
    <t xml:space="preserve">setor</t>
  </si>
  <si>
    <t xml:space="preserve">Centro de Custo</t>
  </si>
  <si>
    <t xml:space="preserve">estado</t>
  </si>
  <si>
    <t xml:space="preserve">licenca</t>
  </si>
  <si>
    <t xml:space="preserve">modalidadeLicenca</t>
  </si>
  <si>
    <t xml:space="preserve">inicioContrato</t>
  </si>
  <si>
    <t xml:space="preserve">finalContrato</t>
  </si>
  <si>
    <t xml:space="preserve">mesesContrato</t>
  </si>
  <si>
    <t xml:space="preserve">proRata</t>
  </si>
  <si>
    <t xml:space="preserve">valorAnual</t>
  </si>
  <si>
    <t xml:space="preserve">valorUnitarioMensal</t>
  </si>
  <si>
    <t xml:space="preserve">qtdLicenca</t>
  </si>
  <si>
    <t xml:space="preserve">valorTotalLicenca</t>
  </si>
  <si>
    <t xml:space="preserve">faturador</t>
  </si>
  <si>
    <t xml:space="preserve">EVO SOLUCOES TERMOACUSTICAS</t>
  </si>
  <si>
    <t xml:space="preserve">Adoniram Amaral Rocha</t>
  </si>
  <si>
    <t xml:space="preserve">adoniram.rocha@evo.ind.br</t>
  </si>
  <si>
    <t xml:space="preserve">2025-07-14 17:05:19Z</t>
  </si>
  <si>
    <t xml:space="preserve">EVO</t>
  </si>
  <si>
    <t xml:space="preserve">SC</t>
  </si>
  <si>
    <t xml:space="preserve">Microsoft 365 Business Premium</t>
  </si>
  <si>
    <t xml:space="preserve">Anual</t>
  </si>
  <si>
    <t xml:space="preserve">INGRAM</t>
  </si>
  <si>
    <t xml:space="preserve">FLEXIVEL-JGS</t>
  </si>
  <si>
    <t xml:space="preserve">Adriana Nass</t>
  </si>
  <si>
    <t xml:space="preserve">dp@grupoflexivel.com.br</t>
  </si>
  <si>
    <t xml:space="preserve">2022-10-21 16:08:11Z</t>
  </si>
  <si>
    <t xml:space="preserve">Departamento Pessoal</t>
  </si>
  <si>
    <t xml:space="preserve">1.01.2.2.01.004-RH</t>
  </si>
  <si>
    <t xml:space="preserve">adriana.nass@grupoflexivel.com.br</t>
  </si>
  <si>
    <t xml:space="preserve">2025-04-08 13:28:16Z</t>
  </si>
  <si>
    <t xml:space="preserve">Recursos Humanos</t>
  </si>
  <si>
    <t xml:space="preserve">Exchange Online (Plan 1)</t>
  </si>
  <si>
    <t xml:space="preserve">Mensal</t>
  </si>
  <si>
    <t xml:space="preserve">Afonso Souza</t>
  </si>
  <si>
    <t xml:space="preserve">afonso.souza@grupoflexivel.com.br</t>
  </si>
  <si>
    <t xml:space="preserve">2022-10-24 18:07:56Z</t>
  </si>
  <si>
    <t xml:space="preserve">Laboratório</t>
  </si>
  <si>
    <t xml:space="preserve">1.01.1.1.05.003-Sistemas de Case</t>
  </si>
  <si>
    <t xml:space="preserve">Aldo  Piazera</t>
  </si>
  <si>
    <t xml:space="preserve">aldo.piazera@grupoflexivel.com.br</t>
  </si>
  <si>
    <t xml:space="preserve">2022-10-25 11:21:33Z</t>
  </si>
  <si>
    <t xml:space="preserve">Industrial</t>
  </si>
  <si>
    <t xml:space="preserve">1.01.1.1.01.007-Processos</t>
  </si>
  <si>
    <t xml:space="preserve">Alessandra Scaravonatto</t>
  </si>
  <si>
    <t xml:space="preserve">alessandra.scaravonatto@grupoflexivel.com.br</t>
  </si>
  <si>
    <t xml:space="preserve">2022-10-21 16:07:50Z</t>
  </si>
  <si>
    <t xml:space="preserve">Fiscal</t>
  </si>
  <si>
    <t xml:space="preserve">1.01.2.2.01.002-Controladoria</t>
  </si>
  <si>
    <t xml:space="preserve">Alexandre Gnewuch</t>
  </si>
  <si>
    <t xml:space="preserve">alexandre.gnewuch@grupoflexivel.com.br</t>
  </si>
  <si>
    <t xml:space="preserve">2022-10-21 16:07:52Z</t>
  </si>
  <si>
    <t xml:space="preserve">1.01.1.1.05.002-Sistemas Moldados</t>
  </si>
  <si>
    <t xml:space="preserve">Alexandre Takashi Motoki</t>
  </si>
  <si>
    <t xml:space="preserve">qualidade@grupoflexivel.com.br</t>
  </si>
  <si>
    <t xml:space="preserve">2022-10-21 16:09:09Z</t>
  </si>
  <si>
    <t xml:space="preserve">Qualidade</t>
  </si>
  <si>
    <t xml:space="preserve">1.01.2.2.01.009-Qualidade</t>
  </si>
  <si>
    <t xml:space="preserve">Aline Barbosa Mader</t>
  </si>
  <si>
    <t xml:space="preserve">aline.mader@grupoflexivel.com.br</t>
  </si>
  <si>
    <t xml:space="preserve">2024-09-20 20:16:26Z</t>
  </si>
  <si>
    <t xml:space="preserve">Almoxarifado</t>
  </si>
  <si>
    <t xml:space="preserve">almoxarifado@grupoflexivel.com.br</t>
  </si>
  <si>
    <t xml:space="preserve">2022-10-21 16:07:53Z</t>
  </si>
  <si>
    <t xml:space="preserve">1.01.1.1.01.002-Recebimento</t>
  </si>
  <si>
    <t xml:space="preserve">Aluisio Goulart Lopes</t>
  </si>
  <si>
    <t xml:space="preserve">aluisio.lopes@grupoflexivel.com.br</t>
  </si>
  <si>
    <t xml:space="preserve">2025-08-25 14:22:08Z</t>
  </si>
  <si>
    <t xml:space="preserve">Inovacao</t>
  </si>
  <si>
    <t xml:space="preserve">1.01.2.1.05.016-Inovação e P&amp;D</t>
  </si>
  <si>
    <t xml:space="preserve">Anderson Mathias</t>
  </si>
  <si>
    <t xml:space="preserve">anderson.mathias@grupoflexivel.com.br</t>
  </si>
  <si>
    <t xml:space="preserve">2024-07-11 12:16:59Z</t>
  </si>
  <si>
    <t xml:space="preserve">Expedição</t>
  </si>
  <si>
    <t xml:space="preserve">1.01.1.1.01.006-Expedição</t>
  </si>
  <si>
    <t xml:space="preserve">Intune</t>
  </si>
  <si>
    <t xml:space="preserve">Ângela Maria Batista Mattos</t>
  </si>
  <si>
    <t xml:space="preserve">angela.mattos@grupoflexivel.com.br</t>
  </si>
  <si>
    <t xml:space="preserve">2025-05-21 11:45:32Z</t>
  </si>
  <si>
    <t xml:space="preserve">Antonia Duarte Silveira</t>
  </si>
  <si>
    <t xml:space="preserve">antonia.silveira@grupoflexivel.com.br</t>
  </si>
  <si>
    <t xml:space="preserve">2025-05-27 12:09:31Z</t>
  </si>
  <si>
    <t xml:space="preserve">1.01.1.1.05.007-Sistemas PFR</t>
  </si>
  <si>
    <t xml:space="preserve">Bernardo Mannes</t>
  </si>
  <si>
    <t xml:space="preserve">bernardo.mannes@grupoflexivel.com.br</t>
  </si>
  <si>
    <t xml:space="preserve">2022-10-21 16:07:57Z</t>
  </si>
  <si>
    <t xml:space="preserve">Suprimentos</t>
  </si>
  <si>
    <t xml:space="preserve">1.01.2.2.01.005-Suprimentos</t>
  </si>
  <si>
    <t xml:space="preserve">Exchange Online (Plan 2)</t>
  </si>
  <si>
    <t xml:space="preserve">Brenda Nascimento</t>
  </si>
  <si>
    <t xml:space="preserve">brenda.nascimento@grupoflexivel.com.br</t>
  </si>
  <si>
    <t xml:space="preserve">2022-10-21 16:07:58Z</t>
  </si>
  <si>
    <t xml:space="preserve">Controladoria</t>
  </si>
  <si>
    <t xml:space="preserve">FLEXIVEL-MG</t>
  </si>
  <si>
    <t xml:space="preserve">Bruna Caroline dos Santos</t>
  </si>
  <si>
    <t xml:space="preserve">bruna.santos@grupoflexivel.com.br</t>
  </si>
  <si>
    <t xml:space="preserve">2023-10-24 11:10:18Z</t>
  </si>
  <si>
    <t xml:space="preserve">Industrial MG</t>
  </si>
  <si>
    <t xml:space="preserve">1.01.1.1.01.001-Gerente Industrial</t>
  </si>
  <si>
    <t xml:space="preserve">MG</t>
  </si>
  <si>
    <t xml:space="preserve">Bruno Gnewuch</t>
  </si>
  <si>
    <t xml:space="preserve">bruno.gnewuch@grupoflexivel.com.br</t>
  </si>
  <si>
    <t xml:space="preserve">2024-11-04 14:26:54Z</t>
  </si>
  <si>
    <t xml:space="preserve">TI</t>
  </si>
  <si>
    <t xml:space="preserve">1.01.2.2.01.006-TI</t>
  </si>
  <si>
    <t xml:space="preserve">Camila Corrêa</t>
  </si>
  <si>
    <t xml:space="preserve">camila.correa@grupoflexivel.com.br</t>
  </si>
  <si>
    <t xml:space="preserve">2025-08-05 18:06:41Z</t>
  </si>
  <si>
    <t xml:space="preserve">Camili de Brito</t>
  </si>
  <si>
    <t xml:space="preserve">jovemaprendiz1@grupoflexivel.com.br</t>
  </si>
  <si>
    <t xml:space="preserve">2023-02-13 15:55:02Z</t>
  </si>
  <si>
    <t xml:space="preserve">Canal de Comunicação e Denúncias</t>
  </si>
  <si>
    <t xml:space="preserve">conduta@grupoflexivel.com.br</t>
  </si>
  <si>
    <t xml:space="preserve">2024-11-29 16:34:56Z</t>
  </si>
  <si>
    <t xml:space="preserve">Carlos Boder</t>
  </si>
  <si>
    <t xml:space="preserve">carlos.boder@grupoflexivel.com.br</t>
  </si>
  <si>
    <t xml:space="preserve">2022-10-21 16:07:59Z</t>
  </si>
  <si>
    <t xml:space="preserve">Financeiro</t>
  </si>
  <si>
    <t xml:space="preserve">1.01.2.2.01.003-Financeiro</t>
  </si>
  <si>
    <t xml:space="preserve">Carolina  Gomes</t>
  </si>
  <si>
    <t xml:space="preserve">carolina.gomes@grupoflexivel.com.br</t>
  </si>
  <si>
    <t xml:space="preserve">2024-08-01 12:21:05Z</t>
  </si>
  <si>
    <t xml:space="preserve">Jurídico</t>
  </si>
  <si>
    <t xml:space="preserve">1.01.2.2.01.016-Jurídico</t>
  </si>
  <si>
    <t xml:space="preserve">Cátia Cristina Lindemann</t>
  </si>
  <si>
    <t xml:space="preserve">catia.lindemann@grupoflexivel.com.br</t>
  </si>
  <si>
    <t xml:space="preserve">2025-01-23 14:07:18Z</t>
  </si>
  <si>
    <t xml:space="preserve">Planner and Project Plan 3</t>
  </si>
  <si>
    <t xml:space="preserve">Christiano Junkes</t>
  </si>
  <si>
    <t xml:space="preserve">christiano@grupoflexivel.com.br</t>
  </si>
  <si>
    <t xml:space="preserve">2022-10-21 16:08:02Z</t>
  </si>
  <si>
    <t xml:space="preserve">Presidente</t>
  </si>
  <si>
    <t xml:space="preserve">1.01.2.2.01.001-Diretoria</t>
  </si>
  <si>
    <t xml:space="preserve">Cinthia Daiane Kruger Glatz</t>
  </si>
  <si>
    <t xml:space="preserve">cinthia.glatz@grupoflexivel.com.br</t>
  </si>
  <si>
    <t xml:space="preserve">2024-05-17 14:05:17Z</t>
  </si>
  <si>
    <t xml:space="preserve">Comercial</t>
  </si>
  <si>
    <t xml:space="preserve">1.01.2.1.01.003-Vendas Internas</t>
  </si>
  <si>
    <t xml:space="preserve">CIPA</t>
  </si>
  <si>
    <t xml:space="preserve">cipa@grupoflexivel.com.br</t>
  </si>
  <si>
    <t xml:space="preserve">2022-10-21 16:08:03Z</t>
  </si>
  <si>
    <t xml:space="preserve">NOVAL MAQUINAS</t>
  </si>
  <si>
    <t xml:space="preserve">comercial@novalmaquinas.com.br</t>
  </si>
  <si>
    <t xml:space="preserve">2025-06-13 11:39:29Z</t>
  </si>
  <si>
    <t xml:space="preserve">NOVAL</t>
  </si>
  <si>
    <t xml:space="preserve">compartilhado grupo Flexivel</t>
  </si>
  <si>
    <t xml:space="preserve">compartilhado5@grupoflexivel.com.br</t>
  </si>
  <si>
    <t xml:space="preserve">2024-04-01 17:56:37Z</t>
  </si>
  <si>
    <t xml:space="preserve">Microsoft 365 Apps for business</t>
  </si>
  <si>
    <t xml:space="preserve">compartilhado6@grupoflexivel.com.br</t>
  </si>
  <si>
    <t xml:space="preserve">2024-05-03 11:47:00Z</t>
  </si>
  <si>
    <t xml:space="preserve">compartilhado1@grupoflexivel.com.br</t>
  </si>
  <si>
    <t xml:space="preserve">2024-04-01 12:16:45Z</t>
  </si>
  <si>
    <t xml:space="preserve">compartilhado2@grupoflexivel.com.br</t>
  </si>
  <si>
    <t xml:space="preserve">2024-04-01 17:52:49Z</t>
  </si>
  <si>
    <t xml:space="preserve">compartilhado8@grupoflexivel.com.br</t>
  </si>
  <si>
    <t xml:space="preserve">2023-07-05 18:44:09Z</t>
  </si>
  <si>
    <t xml:space="preserve">compartilhado3@grupoflexivel.com.br</t>
  </si>
  <si>
    <t xml:space="preserve">2024-04-01 17:54:12Z</t>
  </si>
  <si>
    <t xml:space="preserve">compartilhado4@grupoflexivel.com.br</t>
  </si>
  <si>
    <t xml:space="preserve">2024-04-01 17:55:17Z</t>
  </si>
  <si>
    <t xml:space="preserve">Compartilhado Producao TV</t>
  </si>
  <si>
    <t xml:space="preserve">compartilhado10@grupoflexivel.com.br</t>
  </si>
  <si>
    <t xml:space="preserve">2025-07-11 11:40:07Z</t>
  </si>
  <si>
    <t xml:space="preserve">Comunicação</t>
  </si>
  <si>
    <t xml:space="preserve">comunicacao@grupoflexivel.com.br</t>
  </si>
  <si>
    <t xml:space="preserve">2024-01-22 12:03:00Z</t>
  </si>
  <si>
    <t xml:space="preserve">Marketing</t>
  </si>
  <si>
    <t xml:space="preserve">1.01.2.1.01.005-Marketing</t>
  </si>
  <si>
    <t xml:space="preserve">Controle de Qualidade - Laboratório</t>
  </si>
  <si>
    <t xml:space="preserve">laboratorio.cq@grupoflexivel.com.br</t>
  </si>
  <si>
    <t xml:space="preserve">2024-11-27 13:31:49Z</t>
  </si>
  <si>
    <t xml:space="preserve">1.01.1.1.05.004-Análise e Liberação de Produção</t>
  </si>
  <si>
    <t xml:space="preserve">Cristian Giosele</t>
  </si>
  <si>
    <t xml:space="preserve">cristian.giosele@polivedo.com.br</t>
  </si>
  <si>
    <t xml:space="preserve">2024-02-02 20:08:16Z</t>
  </si>
  <si>
    <t xml:space="preserve">Polivedo</t>
  </si>
  <si>
    <t xml:space="preserve">1.01.2.1.01.009-Especialista de Negócios Polivedo</t>
  </si>
  <si>
    <t xml:space="preserve">CTE</t>
  </si>
  <si>
    <t xml:space="preserve">cte@grupoflexivel.com.br</t>
  </si>
  <si>
    <t xml:space="preserve">2022-10-21 16:08:06Z</t>
  </si>
  <si>
    <t xml:space="preserve">Transportes</t>
  </si>
  <si>
    <t xml:space="preserve">1.01.2.1.06.007-Transportes</t>
  </si>
  <si>
    <t xml:space="preserve">Daniel Vieira</t>
  </si>
  <si>
    <t xml:space="preserve">daniel.vieira@grupoflexivel.com.br</t>
  </si>
  <si>
    <t xml:space="preserve">2022-10-21 16:08:07Z</t>
  </si>
  <si>
    <t xml:space="preserve">Daniele Paula dos Santos Cardoso</t>
  </si>
  <si>
    <t xml:space="preserve">daniele.cardoso@grupoflexivel.com.br</t>
  </si>
  <si>
    <t xml:space="preserve">2024-03-18 11:42:19Z</t>
  </si>
  <si>
    <t xml:space="preserve">David Pereira de Moura</t>
  </si>
  <si>
    <t xml:space="preserve">david.moura@grupoflexivel.com.br</t>
  </si>
  <si>
    <t xml:space="preserve">2025-07-30 14:20:40Z</t>
  </si>
  <si>
    <t xml:space="preserve">Deisiane Seiler Reinhold</t>
  </si>
  <si>
    <t xml:space="preserve">deisiane.reinhold@grupoflexivel.com.br</t>
  </si>
  <si>
    <t xml:space="preserve">2024-04-09 13:59:36Z</t>
  </si>
  <si>
    <t xml:space="preserve">Diego Koepp</t>
  </si>
  <si>
    <t xml:space="preserve">diego.koepp@grupoflexivel.com.br</t>
  </si>
  <si>
    <t xml:space="preserve">2022-10-21 16:08:09Z</t>
  </si>
  <si>
    <t xml:space="preserve">Diretoria</t>
  </si>
  <si>
    <t xml:space="preserve">diretoria@grupoflexivel.com.br</t>
  </si>
  <si>
    <t xml:space="preserve">2022-10-21 16:08:10Z</t>
  </si>
  <si>
    <t xml:space="preserve">Dyovane de Zorzi Afonso</t>
  </si>
  <si>
    <t xml:space="preserve">dyovane.afonso@grupoflexivel.com.br</t>
  </si>
  <si>
    <t xml:space="preserve">2024-03-08 12:45:50Z</t>
  </si>
  <si>
    <t xml:space="preserve">1.01.2.1.06.001-Administração Logistica</t>
  </si>
  <si>
    <t xml:space="preserve">Ederson Carlos Pereira</t>
  </si>
  <si>
    <t xml:space="preserve">ederson.pereira@grupoflexivel.com.br</t>
  </si>
  <si>
    <t xml:space="preserve">2024-06-04 11:15:43Z</t>
  </si>
  <si>
    <t xml:space="preserve">Indusrial</t>
  </si>
  <si>
    <t xml:space="preserve">EDI</t>
  </si>
  <si>
    <t xml:space="preserve">edi@grupoflexivel.com.br</t>
  </si>
  <si>
    <t xml:space="preserve">2024-04-08 19:10:35Z</t>
  </si>
  <si>
    <t xml:space="preserve">Eduardo de Souza</t>
  </si>
  <si>
    <t xml:space="preserve">eduardo.souza@grupoflexivel.com.br</t>
  </si>
  <si>
    <t xml:space="preserve">2025-01-30 11:24:55Z</t>
  </si>
  <si>
    <t xml:space="preserve">Eduardo Junkes</t>
  </si>
  <si>
    <t xml:space="preserve">eduardo@grupoflexivel.com.br</t>
  </si>
  <si>
    <t xml:space="preserve">2023-01-16 17:07:03Z</t>
  </si>
  <si>
    <t xml:space="preserve">Eliel Seidel</t>
  </si>
  <si>
    <t xml:space="preserve">eliel.seidel@evo.ind.br</t>
  </si>
  <si>
    <t xml:space="preserve">2025-02-11 18:15:25Z</t>
  </si>
  <si>
    <t xml:space="preserve">Elisa Santana</t>
  </si>
  <si>
    <t xml:space="preserve">elisa.santana@grupoflexivel.com.br</t>
  </si>
  <si>
    <t xml:space="preserve">2025-04-24 11:12:10Z</t>
  </si>
  <si>
    <t xml:space="preserve">Emanuelly Giese</t>
  </si>
  <si>
    <t xml:space="preserve">jovemaprendiz2@grupoflexivel.com.br</t>
  </si>
  <si>
    <t xml:space="preserve">2022-10-21 16:08:41Z</t>
  </si>
  <si>
    <t xml:space="preserve">Eric Pilonetto</t>
  </si>
  <si>
    <t xml:space="preserve">eric.pilonetto@grupoflexivel.com.br</t>
  </si>
  <si>
    <t xml:space="preserve">2022-11-16 11:42:37Z</t>
  </si>
  <si>
    <t xml:space="preserve">Estágio Laboratório</t>
  </si>
  <si>
    <t xml:space="preserve">estagio1@grupoflexivel.com.br</t>
  </si>
  <si>
    <t xml:space="preserve">2024-04-08 11:51:57Z</t>
  </si>
  <si>
    <t xml:space="preserve">1.01.1.1.05.001-Sistemas Flexíveis</t>
  </si>
  <si>
    <t xml:space="preserve">Everton Simette</t>
  </si>
  <si>
    <t xml:space="preserve">everton.simette@grupoflexivel.com.br</t>
  </si>
  <si>
    <t xml:space="preserve">2022-10-21 16:08:16Z</t>
  </si>
  <si>
    <t xml:space="preserve">Expedicao</t>
  </si>
  <si>
    <t xml:space="preserve">expedicao@grupoflexivel.com.br</t>
  </si>
  <si>
    <t xml:space="preserve">2022-10-21 16:08:19Z</t>
  </si>
  <si>
    <t xml:space="preserve">Expedicao Matriz</t>
  </si>
  <si>
    <t xml:space="preserve">Expedicao MG</t>
  </si>
  <si>
    <t xml:space="preserve">expedicao.mg@grupoflexivel.com.br</t>
  </si>
  <si>
    <t xml:space="preserve">2022-10-21 16:08:18Z</t>
  </si>
  <si>
    <t xml:space="preserve">Fabiana Schramm Ferreira</t>
  </si>
  <si>
    <t xml:space="preserve">fabiana.ferreira@grupoflexivel.com.br</t>
  </si>
  <si>
    <t xml:space="preserve">2025-05-21 11:47:18Z</t>
  </si>
  <si>
    <t xml:space="preserve">Fabiane Pavanello</t>
  </si>
  <si>
    <t xml:space="preserve">fabiane.pavanello@grupoflexivel.com.br</t>
  </si>
  <si>
    <t xml:space="preserve">2022-10-21 16:08:24Z</t>
  </si>
  <si>
    <t xml:space="preserve">Contabilidade</t>
  </si>
  <si>
    <t xml:space="preserve">Fábio Ortiz da Silva</t>
  </si>
  <si>
    <t xml:space="preserve">fabio.ortiz@grupoflexivel.com.br</t>
  </si>
  <si>
    <t xml:space="preserve">2023-03-14 13:13:45Z</t>
  </si>
  <si>
    <t xml:space="preserve">Comercial MG</t>
  </si>
  <si>
    <t xml:space="preserve">1.01.2.1.05.011-Vendas Externas 5 - Fabio</t>
  </si>
  <si>
    <t xml:space="preserve">Fabio Padilha</t>
  </si>
  <si>
    <t xml:space="preserve">fabio.padilha@grupoflexivel.com.br</t>
  </si>
  <si>
    <t xml:space="preserve">2022-10-21 16:08:20Z</t>
  </si>
  <si>
    <t xml:space="preserve">Portaria</t>
  </si>
  <si>
    <t xml:space="preserve">1.01.2.2.01.017-Facilities</t>
  </si>
  <si>
    <t xml:space="preserve">Fabrizio Bogoni</t>
  </si>
  <si>
    <t xml:space="preserve">fabrizio.bogoni@grupoflexivel.com.br</t>
  </si>
  <si>
    <t xml:space="preserve">2025-08-29 13:17:19Z</t>
  </si>
  <si>
    <t xml:space="preserve">Faturamento</t>
  </si>
  <si>
    <t xml:space="preserve">faturamento@grupoflexivel.com.br</t>
  </si>
  <si>
    <t xml:space="preserve">2022-10-21 16:08:25Z</t>
  </si>
  <si>
    <t xml:space="preserve">1.01.2.2.01.011-Faturamento</t>
  </si>
  <si>
    <t xml:space="preserve">Felipe Prestes</t>
  </si>
  <si>
    <t xml:space="preserve">felipe.prestes@polivedo.com.br</t>
  </si>
  <si>
    <t xml:space="preserve">2025-07-08 14:19:45Z</t>
  </si>
  <si>
    <t xml:space="preserve">1.01.2.1.05.026-Vendas Externas 5 PO - Felipe</t>
  </si>
  <si>
    <t xml:space="preserve">Microsoft 365 Business Premium+Intune</t>
  </si>
  <si>
    <t xml:space="preserve">Fernanda Miersch</t>
  </si>
  <si>
    <t xml:space="preserve">fernanda.miersch@evo.ind.br</t>
  </si>
  <si>
    <t xml:space="preserve">2025-02-11 18:15:28Z</t>
  </si>
  <si>
    <t xml:space="preserve">Financeiro Noval Maquinas</t>
  </si>
  <si>
    <t xml:space="preserve">financeiro@novalmaquinas.com.br</t>
  </si>
  <si>
    <t xml:space="preserve">2025-06-18 16:06:53Z</t>
  </si>
  <si>
    <t xml:space="preserve">Francieli Machado</t>
  </si>
  <si>
    <t xml:space="preserve">francieli.machado@grupoflexivel.com.br</t>
  </si>
  <si>
    <t xml:space="preserve">2024-10-22 16:33:13Z</t>
  </si>
  <si>
    <t xml:space="preserve">Gabriel Menezes</t>
  </si>
  <si>
    <t xml:space="preserve">gabriel.vilella@grupoflexivel.com.br</t>
  </si>
  <si>
    <t xml:space="preserve">2024-04-09 13:55:05Z</t>
  </si>
  <si>
    <t xml:space="preserve">Laboratorio MG</t>
  </si>
  <si>
    <t xml:space="preserve">Gabriel Raí</t>
  </si>
  <si>
    <t xml:space="preserve">gabriel.souza@grupoflexivel.com.br</t>
  </si>
  <si>
    <t xml:space="preserve">2025-06-03 17:04:24Z</t>
  </si>
  <si>
    <t xml:space="preserve">Recebimento</t>
  </si>
  <si>
    <t xml:space="preserve">Gabriella Giovanella Mohr</t>
  </si>
  <si>
    <t xml:space="preserve">gabriella.mohr@grupoflexivel.com.br</t>
  </si>
  <si>
    <t xml:space="preserve">2024-01-15 16:37:26Z</t>
  </si>
  <si>
    <t xml:space="preserve">Gabrielle Klemtz</t>
  </si>
  <si>
    <t xml:space="preserve">gabrielle.klemtz@grupoflexivel.com.br</t>
  </si>
  <si>
    <t xml:space="preserve">2022-10-21 16:08:32Z</t>
  </si>
  <si>
    <t xml:space="preserve">1.01.1.1.05.006-Sistemas PO</t>
  </si>
  <si>
    <t xml:space="preserve">Gilson Hornburg</t>
  </si>
  <si>
    <t xml:space="preserve">gilson.hornburg@grupoflexivel.com.br</t>
  </si>
  <si>
    <t xml:space="preserve">2022-10-21 16:08:28Z</t>
  </si>
  <si>
    <t xml:space="preserve">Financeiro </t>
  </si>
  <si>
    <t xml:space="preserve">Giovane Caetano da Silva</t>
  </si>
  <si>
    <t xml:space="preserve">giovane.silva@grupoflexivel.com.br</t>
  </si>
  <si>
    <t xml:space="preserve">2023-07-05 11:07:00Z</t>
  </si>
  <si>
    <t xml:space="preserve">Girlei  Correia</t>
  </si>
  <si>
    <t xml:space="preserve">girlei.correia@grupoflexivel.com.br</t>
  </si>
  <si>
    <t xml:space="preserve">2025-02-24 16:14:06Z</t>
  </si>
  <si>
    <t xml:space="preserve">Producao</t>
  </si>
  <si>
    <t xml:space="preserve">1.01.1.2.01.001-Reatores/Envase</t>
  </si>
  <si>
    <t xml:space="preserve">Giselly Souza</t>
  </si>
  <si>
    <t xml:space="preserve">giselly.souza@grupoflexivel.com.br</t>
  </si>
  <si>
    <t xml:space="preserve">2022-10-21 16:08:33Z</t>
  </si>
  <si>
    <t xml:space="preserve">Guilherme Gadotti</t>
  </si>
  <si>
    <t xml:space="preserve">guilherme.gadotti@grupoflexivel.com.br</t>
  </si>
  <si>
    <t xml:space="preserve">2022-10-21 16:08:34Z</t>
  </si>
  <si>
    <t xml:space="preserve">Guilherme Schmitt</t>
  </si>
  <si>
    <t xml:space="preserve">guilherme.schmitt@grupoflexivel.com.br</t>
  </si>
  <si>
    <t xml:space="preserve">2024-03-06 16:57:40Z</t>
  </si>
  <si>
    <t xml:space="preserve">Custos</t>
  </si>
  <si>
    <t xml:space="preserve">1.01.2.2.01.015-Custos</t>
  </si>
  <si>
    <t xml:space="preserve">Gustavo Farias Souza</t>
  </si>
  <si>
    <t xml:space="preserve">gustavo.souza@grupoflexivel.com.br</t>
  </si>
  <si>
    <t xml:space="preserve">2023-10-02 13:13:15Z</t>
  </si>
  <si>
    <t xml:space="preserve">Gustavo Kinas Vieira</t>
  </si>
  <si>
    <t xml:space="preserve">gustavo.vieira@grupoflexivel.com.br</t>
  </si>
  <si>
    <t xml:space="preserve">2023-10-19 16:06:44Z</t>
  </si>
  <si>
    <t xml:space="preserve">Helio Souza</t>
  </si>
  <si>
    <t xml:space="preserve">helio.souza@grupoflexivel.com.br</t>
  </si>
  <si>
    <t xml:space="preserve">2025-01-14 19:41:48Z</t>
  </si>
  <si>
    <t xml:space="preserve">Higor Luiz da Silva Altera</t>
  </si>
  <si>
    <t xml:space="preserve">higor.altera@grupoflexivel.com.br</t>
  </si>
  <si>
    <t xml:space="preserve">2024-02-13 20:18:40Z</t>
  </si>
  <si>
    <t xml:space="preserve">1.01.2.1.01.004-Vendas Externas 1 - Higor</t>
  </si>
  <si>
    <t xml:space="preserve">Igor Sebastian Mathias</t>
  </si>
  <si>
    <t xml:space="preserve">igor.mathias@grupoflexivel.com.br</t>
  </si>
  <si>
    <t xml:space="preserve">2025-01-17 11:51:56Z</t>
  </si>
  <si>
    <t xml:space="preserve">Isadora Khoury</t>
  </si>
  <si>
    <t xml:space="preserve">jovemaprendiz4@grupoflexivel.com.br</t>
  </si>
  <si>
    <t xml:space="preserve">2023-02-13 16:07:00Z</t>
  </si>
  <si>
    <t xml:space="preserve">Javier Sierra</t>
  </si>
  <si>
    <t xml:space="preserve">javier.castro@grupoflexivel.com.br</t>
  </si>
  <si>
    <t xml:space="preserve">2022-10-21 16:08:37Z</t>
  </si>
  <si>
    <t xml:space="preserve">Jedson Rodrigo Teixeira</t>
  </si>
  <si>
    <t xml:space="preserve">jedson.teixeira@grupoflexivel.com.br</t>
  </si>
  <si>
    <t xml:space="preserve">2025-09-05 17:30:45Z</t>
  </si>
  <si>
    <t xml:space="preserve">Facilities</t>
  </si>
  <si>
    <t xml:space="preserve">Jhonatan Thibes Schmitz</t>
  </si>
  <si>
    <t xml:space="preserve">jhonatan.schmitz@grupoflexivel.com.br</t>
  </si>
  <si>
    <t xml:space="preserve">2024-01-10 20:33:29Z</t>
  </si>
  <si>
    <t xml:space="preserve">João Paes</t>
  </si>
  <si>
    <t xml:space="preserve">joao.paes@grupoflexivel.com.br</t>
  </si>
  <si>
    <t xml:space="preserve">2024-02-13 17:08:28Z</t>
  </si>
  <si>
    <t xml:space="preserve">1.01.2.1.05.005-Vendas Externas 3 - João</t>
  </si>
  <si>
    <t xml:space="preserve">Joao Rocha</t>
  </si>
  <si>
    <t xml:space="preserve">joao.rocha@grupoflexivel.com.br</t>
  </si>
  <si>
    <t xml:space="preserve">2022-10-21 16:08:38Z</t>
  </si>
  <si>
    <t xml:space="preserve">Joao Torres</t>
  </si>
  <si>
    <t xml:space="preserve">joao.torres@grupoflexivel.com.br</t>
  </si>
  <si>
    <t xml:space="preserve">2024-01-10 18:03:20Z</t>
  </si>
  <si>
    <t xml:space="preserve">1.01.2.1.01.012- Coordenação Novos Negócios Polivedo</t>
  </si>
  <si>
    <t xml:space="preserve">José Luis Erschinger</t>
  </si>
  <si>
    <t xml:space="preserve">jose.erschinger@grupoflexivel.com.br</t>
  </si>
  <si>
    <t xml:space="preserve">2024-01-15 16:03:00Z</t>
  </si>
  <si>
    <t xml:space="preserve">Josoé  Meldola</t>
  </si>
  <si>
    <t xml:space="preserve">josoe.meldola@grupoflexivel.com.br</t>
  </si>
  <si>
    <t xml:space="preserve">2024-02-29 19:26:37Z</t>
  </si>
  <si>
    <t xml:space="preserve">Julian  Michael Faccin</t>
  </si>
  <si>
    <t xml:space="preserve">julian.faccin@evo.ind.br</t>
  </si>
  <si>
    <t xml:space="preserve">2025-03-19 13:34:04Z</t>
  </si>
  <si>
    <t xml:space="preserve">Juliana Aparecida Da Silveira</t>
  </si>
  <si>
    <t xml:space="preserve">juliana.silveira@grupoflexivel.com.br</t>
  </si>
  <si>
    <t xml:space="preserve">2024-07-22 14:31:11Z</t>
  </si>
  <si>
    <t xml:space="preserve">Juliane Ketlyn da Costa</t>
  </si>
  <si>
    <t xml:space="preserve">juliane.costa@polivedo.com.br</t>
  </si>
  <si>
    <t xml:space="preserve">2024-04-23 11:25:29Z</t>
  </si>
  <si>
    <t xml:space="preserve">1.01.2.1.05.014-Comercial PO</t>
  </si>
  <si>
    <t xml:space="preserve">Juliano Krueger</t>
  </si>
  <si>
    <t xml:space="preserve">juliano.krueger@grupoflexivel.com.br</t>
  </si>
  <si>
    <t xml:space="preserve">2025-06-24 14:37:44Z</t>
  </si>
  <si>
    <t xml:space="preserve">Diretor Industrial</t>
  </si>
  <si>
    <t xml:space="preserve">1.01.1.1.01.009-Diretor Industrial</t>
  </si>
  <si>
    <t xml:space="preserve">Julio Cesar Redivo</t>
  </si>
  <si>
    <t xml:space="preserve">julio.redivo@grupoflexivel.com.br</t>
  </si>
  <si>
    <t xml:space="preserve">2025-08-05 18:05:13Z</t>
  </si>
  <si>
    <t xml:space="preserve">Jusciane Lagni</t>
  </si>
  <si>
    <t xml:space="preserve">jusciane.lagni@grupoflexivel.com.br</t>
  </si>
  <si>
    <t xml:space="preserve">2024-03-01 11:50:53Z</t>
  </si>
  <si>
    <t xml:space="preserve">Kaciara Franciele Ruver</t>
  </si>
  <si>
    <t xml:space="preserve">kaciara.ruver@grupoflexivel.com.br</t>
  </si>
  <si>
    <t xml:space="preserve">2024-11-12 12:05:35Z</t>
  </si>
  <si>
    <t xml:space="preserve">Karoline Meira da Silva</t>
  </si>
  <si>
    <t xml:space="preserve">karoline.silva@grupoflexivel.com.br</t>
  </si>
  <si>
    <t xml:space="preserve">2025-09-05 17:31:40Z</t>
  </si>
  <si>
    <t xml:space="preserve">Kelvin Vieira Augusto Jordão</t>
  </si>
  <si>
    <t xml:space="preserve">jovemaprendiz5@grupoflexivel.com.br</t>
  </si>
  <si>
    <t xml:space="preserve">2023-02-13 16:07:45Z</t>
  </si>
  <si>
    <t xml:space="preserve">kelvin.jordao@polivedo.com.br</t>
  </si>
  <si>
    <t xml:space="preserve">2025-09-24 10:36:12Z</t>
  </si>
  <si>
    <t xml:space="preserve">Leandro Jordão</t>
  </si>
  <si>
    <t xml:space="preserve">leandro.jordao@grupoflexivel.com.br</t>
  </si>
  <si>
    <t xml:space="preserve">2025-06-30 12:53:52Z</t>
  </si>
  <si>
    <t xml:space="preserve">Leandro Zanchin</t>
  </si>
  <si>
    <t xml:space="preserve">leandro.zanchin@grupoflexivel.com.br</t>
  </si>
  <si>
    <t xml:space="preserve">2022-10-21 16:08:45Z</t>
  </si>
  <si>
    <t xml:space="preserve">Gerente Controladoria</t>
  </si>
  <si>
    <t xml:space="preserve">Loureno Junior</t>
  </si>
  <si>
    <t xml:space="preserve">loureno.junior@grupoflexivel.com.br</t>
  </si>
  <si>
    <t xml:space="preserve">2023-12-05 16:28:01Z</t>
  </si>
  <si>
    <t xml:space="preserve">Manutenção</t>
  </si>
  <si>
    <t xml:space="preserve">1.01.1.1.01.004-Manutenção</t>
  </si>
  <si>
    <t xml:space="preserve">Luan Bueno</t>
  </si>
  <si>
    <t xml:space="preserve">luan.bueno@grupoflexivel.com.br</t>
  </si>
  <si>
    <t xml:space="preserve">2022-10-21 16:08:46Z</t>
  </si>
  <si>
    <t xml:space="preserve">1.01.2.1.01.007-Vendas Externas 2 - Luan</t>
  </si>
  <si>
    <t xml:space="preserve">Luana Aline Giatti Francisco</t>
  </si>
  <si>
    <t xml:space="preserve">luana.francisco@grupoflexivel.com.br</t>
  </si>
  <si>
    <t xml:space="preserve">2023-09-13 14:34:42Z</t>
  </si>
  <si>
    <t xml:space="preserve">Luana Bruch</t>
  </si>
  <si>
    <t xml:space="preserve">luana.bruch@grupoflexivel.com.br</t>
  </si>
  <si>
    <t xml:space="preserve">2022-10-21 16:08:47Z</t>
  </si>
  <si>
    <t xml:space="preserve">Lucas Braun</t>
  </si>
  <si>
    <t xml:space="preserve">lucas.braun@grupoflexivel.com.br</t>
  </si>
  <si>
    <t xml:space="preserve">2022-10-21 16:08:49Z</t>
  </si>
  <si>
    <t xml:space="preserve">Luis Eduardo Armelini</t>
  </si>
  <si>
    <t xml:space="preserve">luis.armelini@grupoflexivel.com.br</t>
  </si>
  <si>
    <t xml:space="preserve">2024-05-23 12:07:22Z</t>
  </si>
  <si>
    <t xml:space="preserve">1.01.2.1.01.010-Gerente Comercial SE</t>
  </si>
  <si>
    <t xml:space="preserve">Luisa Sanson</t>
  </si>
  <si>
    <t xml:space="preserve">luisa.sanson@grupoflexivel.com.br</t>
  </si>
  <si>
    <t xml:space="preserve">2025-08-29 18:50:39Z</t>
  </si>
  <si>
    <t xml:space="preserve">Luiz Panisson Herber</t>
  </si>
  <si>
    <t xml:space="preserve">luiz.herber@grupoflexivel.com.br</t>
  </si>
  <si>
    <t xml:space="preserve">2025-08-13 19:04:01Z</t>
  </si>
  <si>
    <t xml:space="preserve">Luiz Schneider</t>
  </si>
  <si>
    <t xml:space="preserve">luiz.schneider@grupoflexivel.com.br</t>
  </si>
  <si>
    <t xml:space="preserve">2023-07-13 15:45:02Z</t>
  </si>
  <si>
    <t xml:space="preserve">1.01.2.1.05.005-Vendas Externas 3 - Luiz</t>
  </si>
  <si>
    <t xml:space="preserve">Maico Machado</t>
  </si>
  <si>
    <t xml:space="preserve">maico.machado@grupoflexivel.com.br</t>
  </si>
  <si>
    <t xml:space="preserve">2022-10-21 16:08:53Z</t>
  </si>
  <si>
    <t xml:space="preserve">1.01.2.1.01.007-Vendas Externas 2 - Maico</t>
  </si>
  <si>
    <t xml:space="preserve">Manoel Hollweg</t>
  </si>
  <si>
    <t xml:space="preserve">manoel.hollweg@polivedo.com.br</t>
  </si>
  <si>
    <t xml:space="preserve">2025-05-19 13:59:55Z</t>
  </si>
  <si>
    <t xml:space="preserve">1.01.2.1.05.022-Vendas Externas 2 PO - Manoel</t>
  </si>
  <si>
    <t xml:space="preserve">Marciel Konell</t>
  </si>
  <si>
    <t xml:space="preserve">marciel.konell@grupoflexivel.com.br</t>
  </si>
  <si>
    <t xml:space="preserve">2024-06-11 11:25:05Z</t>
  </si>
  <si>
    <t xml:space="preserve">Marco Aurélio Donizette</t>
  </si>
  <si>
    <t xml:space="preserve">marco.donizette@grupoflexivel.com.br</t>
  </si>
  <si>
    <t xml:space="preserve">2025-07-02 10:23:44Z</t>
  </si>
  <si>
    <t xml:space="preserve">Maria Eduarda de Melo</t>
  </si>
  <si>
    <t xml:space="preserve">estagio2@grupoflexivel.com.br</t>
  </si>
  <si>
    <t xml:space="preserve">2024-04-08 11:56:15Z</t>
  </si>
  <si>
    <t xml:space="preserve">Maria Fischer</t>
  </si>
  <si>
    <t xml:space="preserve">maria.fischer@grupoflexivel.com.br</t>
  </si>
  <si>
    <t xml:space="preserve">2022-10-21 16:08:56Z</t>
  </si>
  <si>
    <t xml:space="preserve">Secretária Diretor</t>
  </si>
  <si>
    <t xml:space="preserve">Marileia Doge</t>
  </si>
  <si>
    <t xml:space="preserve">marileia.doge@grupoflexivel.com.br</t>
  </si>
  <si>
    <t xml:space="preserve">2022-10-21 16:08:57Z</t>
  </si>
  <si>
    <t xml:space="preserve">1.01.2.1.01.002-Gerente Comercial</t>
  </si>
  <si>
    <t xml:space="preserve">Mário Sérgio De Oliveira</t>
  </si>
  <si>
    <t xml:space="preserve">mario.oliveira@grupoflexivel.com.br</t>
  </si>
  <si>
    <t xml:space="preserve">2024-09-26 11:43:08Z</t>
  </si>
  <si>
    <t xml:space="preserve">Mateus Henrique Ranghetti</t>
  </si>
  <si>
    <t xml:space="preserve">mateus.ranghetti@grupoflexivel.com.br</t>
  </si>
  <si>
    <t xml:space="preserve">2024-07-05 14:01:08Z</t>
  </si>
  <si>
    <t xml:space="preserve">1.01.2.1.05.011-Vendas Externas 5 - Ranghetti</t>
  </si>
  <si>
    <t xml:space="preserve">Mateus Pedro</t>
  </si>
  <si>
    <t xml:space="preserve">mateus.pedro@evo.ind.br</t>
  </si>
  <si>
    <t xml:space="preserve">2025-03-12 12:24:50Z</t>
  </si>
  <si>
    <t xml:space="preserve">Matheus Junkes</t>
  </si>
  <si>
    <t xml:space="preserve">matheus@grupoflexivel.com.br</t>
  </si>
  <si>
    <t xml:space="preserve">2022-10-21 16:09:00Z</t>
  </si>
  <si>
    <t xml:space="preserve">Sustentabilidade</t>
  </si>
  <si>
    <t xml:space="preserve">1.01.2.1.05.020-Sustentabilidade</t>
  </si>
  <si>
    <t xml:space="preserve">Mauri Marquardt</t>
  </si>
  <si>
    <t xml:space="preserve">mauri.marquardt@grupoflexivel.com.br</t>
  </si>
  <si>
    <t xml:space="preserve">2023-02-17 16:33:30Z</t>
  </si>
  <si>
    <t xml:space="preserve">Murilo Rafael de Mello</t>
  </si>
  <si>
    <t xml:space="preserve">murilo.mello@grupoflexivel.com.br</t>
  </si>
  <si>
    <t xml:space="preserve">2024-12-06 16:32:42Z</t>
  </si>
  <si>
    <t xml:space="preserve">Diretor Comercial</t>
  </si>
  <si>
    <t xml:space="preserve">1.01.2.1.01.001-Diretor Comercial</t>
  </si>
  <si>
    <t xml:space="preserve">NÃO ALTERAR SENHA</t>
  </si>
  <si>
    <t xml:space="preserve">veeam@grupoflexivel.com.br</t>
  </si>
  <si>
    <t xml:space="preserve">2025-05-15 17:17:47Z</t>
  </si>
  <si>
    <t xml:space="preserve">NaoResponda</t>
  </si>
  <si>
    <t xml:space="preserve">naoresponda@grupoflexivel.com.br</t>
  </si>
  <si>
    <t xml:space="preserve">2024-04-04 19:32:04Z</t>
  </si>
  <si>
    <t xml:space="preserve">Natalia Specht Mendes da Silva</t>
  </si>
  <si>
    <t xml:space="preserve">natalia.mendes@grupoflexivel.com.br</t>
  </si>
  <si>
    <t xml:space="preserve">2024-12-02 15:50:22Z</t>
  </si>
  <si>
    <t xml:space="preserve">nfe</t>
  </si>
  <si>
    <t xml:space="preserve">nfe@evo.ind.br</t>
  </si>
  <si>
    <t xml:space="preserve">2025-04-07 16:25:38Z</t>
  </si>
  <si>
    <t xml:space="preserve">NFE</t>
  </si>
  <si>
    <t xml:space="preserve">nfe@grupoflexivel.com.br</t>
  </si>
  <si>
    <t xml:space="preserve">2022-10-21 16:09:01Z</t>
  </si>
  <si>
    <t xml:space="preserve">Nilmar Marcilio dos Santos</t>
  </si>
  <si>
    <t xml:space="preserve">nilmar.santos@grupoflexivel.com.br</t>
  </si>
  <si>
    <t xml:space="preserve">2024-06-11 18:18:16Z</t>
  </si>
  <si>
    <t xml:space="preserve">Noreply</t>
  </si>
  <si>
    <t xml:space="preserve">noreply@grupoflexivel.com.br</t>
  </si>
  <si>
    <t xml:space="preserve">2023-10-02 19:13:04Z</t>
  </si>
  <si>
    <t xml:space="preserve">Odair Amaral</t>
  </si>
  <si>
    <t xml:space="preserve">odair.amaral@grupoflexivel.com.br</t>
  </si>
  <si>
    <t xml:space="preserve">2025-02-24 16:14:54Z</t>
  </si>
  <si>
    <t xml:space="preserve">1.01.1.2.01.006-Produção PO</t>
  </si>
  <si>
    <t xml:space="preserve">Oscar Junior</t>
  </si>
  <si>
    <t xml:space="preserve">oscar.junior@grupoflexivel.com.br</t>
  </si>
  <si>
    <t xml:space="preserve">2022-10-21 16:09:02Z</t>
  </si>
  <si>
    <t xml:space="preserve">1.01.2.1.05.012-Vendas Externas 6 - Oscar</t>
  </si>
  <si>
    <t xml:space="preserve">Pedro Schneider</t>
  </si>
  <si>
    <t xml:space="preserve">jovemaprendiz3@grupoflexivel.com.br</t>
  </si>
  <si>
    <t xml:space="preserve">2023-02-13 16:05:56Z</t>
  </si>
  <si>
    <t xml:space="preserve">Philipe Boscariol Francisco</t>
  </si>
  <si>
    <t xml:space="preserve">philipe.francisco@grupoflexivel.com.br</t>
  </si>
  <si>
    <t xml:space="preserve">2023-09-05 11:15:08Z</t>
  </si>
  <si>
    <t xml:space="preserve">portaria@grupoflexivel.com.br</t>
  </si>
  <si>
    <t xml:space="preserve">2022-10-21 16:09:06Z</t>
  </si>
  <si>
    <t xml:space="preserve">Rafael Domingues</t>
  </si>
  <si>
    <t xml:space="preserve">rafael.domingues@grupoflexivel.com.br</t>
  </si>
  <si>
    <t xml:space="preserve">2022-10-21 16:09:10Z</t>
  </si>
  <si>
    <t xml:space="preserve">recebimento@grupoflexivel.com.br</t>
  </si>
  <si>
    <t xml:space="preserve">2024-08-14 18:25:28Z</t>
  </si>
  <si>
    <t xml:space="preserve">Recepção</t>
  </si>
  <si>
    <t xml:space="preserve">recepcao@grupoflexivel.com.br</t>
  </si>
  <si>
    <t xml:space="preserve">2022-10-21 16:09:12Z</t>
  </si>
  <si>
    <t xml:space="preserve">rh@novalmaquinas.com.br</t>
  </si>
  <si>
    <t xml:space="preserve">2025-06-13 11:42:43Z</t>
  </si>
  <si>
    <t xml:space="preserve">Renata Servilha</t>
  </si>
  <si>
    <t xml:space="preserve">renata.servilha@grupoflexivel.com.br</t>
  </si>
  <si>
    <t xml:space="preserve">2022-10-21 16:09:07Z</t>
  </si>
  <si>
    <t xml:space="preserve">PPCP</t>
  </si>
  <si>
    <t xml:space="preserve">1.01.1.1.01.003-PPCP</t>
  </si>
  <si>
    <t xml:space="preserve">RH - Não Excluir</t>
  </si>
  <si>
    <t xml:space="preserve">rh2@grupoflexivel.com.br</t>
  </si>
  <si>
    <t xml:space="preserve">2022-10-21 16:09:13Z</t>
  </si>
  <si>
    <t xml:space="preserve">Ricardo  Budach</t>
  </si>
  <si>
    <t xml:space="preserve">ricardo.budach@grupoflexivel.com.br</t>
  </si>
  <si>
    <t xml:space="preserve">2023-06-02 11:49:17Z</t>
  </si>
  <si>
    <t xml:space="preserve">Aeronave</t>
  </si>
  <si>
    <t xml:space="preserve">1.01.2.2.01.014-Aeronave</t>
  </si>
  <si>
    <t xml:space="preserve">Robson Fuchter</t>
  </si>
  <si>
    <t xml:space="preserve">robson.fuchter@grupoflexivel.com.br</t>
  </si>
  <si>
    <t xml:space="preserve">2023-11-17 15:48:51Z</t>
  </si>
  <si>
    <t xml:space="preserve">Rodrigo - Transportes</t>
  </si>
  <si>
    <t xml:space="preserve">transportes@grupoflexivel.com.br</t>
  </si>
  <si>
    <t xml:space="preserve">2022-10-21 16:09:30Z</t>
  </si>
  <si>
    <t xml:space="preserve">Roner  Cesar Fortes de Sena</t>
  </si>
  <si>
    <t xml:space="preserve">roner.sena@polivedo.com.br</t>
  </si>
  <si>
    <t xml:space="preserve">2024-11-05 12:03:16Z</t>
  </si>
  <si>
    <t xml:space="preserve">1.01.2.1.05.024-Vendas Externas 3 PO - Roner</t>
  </si>
  <si>
    <t xml:space="preserve">Rosemeire Araujo</t>
  </si>
  <si>
    <t xml:space="preserve">rosemeire.araujo@grupoflexivel.com.br</t>
  </si>
  <si>
    <t xml:space="preserve">2022-10-21 16:09:15Z</t>
  </si>
  <si>
    <t xml:space="preserve">Sandriele Streit</t>
  </si>
  <si>
    <t xml:space="preserve">sandriele.streit@grupoflexivel.com.br</t>
  </si>
  <si>
    <t xml:space="preserve">2024-01-10 18:00:58Z</t>
  </si>
  <si>
    <t xml:space="preserve">Inovação</t>
  </si>
  <si>
    <t xml:space="preserve">3.865,9</t>
  </si>
  <si>
    <t xml:space="preserve">Scheila Voelz</t>
  </si>
  <si>
    <t xml:space="preserve">scheila.voelz@evo.ind.br</t>
  </si>
  <si>
    <t xml:space="preserve">2025-02-11 18:15:27Z</t>
  </si>
  <si>
    <t xml:space="preserve">Seguranca</t>
  </si>
  <si>
    <t xml:space="preserve">seguranca@grupoflexivel.com.br</t>
  </si>
  <si>
    <t xml:space="preserve">2022-10-21 16:09:16Z</t>
  </si>
  <si>
    <t xml:space="preserve">Sergio Batista</t>
  </si>
  <si>
    <t xml:space="preserve">sergio.batista@polivedo.com.br</t>
  </si>
  <si>
    <t xml:space="preserve">2023-07-18 11:48:01Z</t>
  </si>
  <si>
    <t xml:space="preserve">Sibele Almeida</t>
  </si>
  <si>
    <t xml:space="preserve">sibele.almeida@grupoflexivel.com.br</t>
  </si>
  <si>
    <t xml:space="preserve">2022-10-21 16:09:18Z</t>
  </si>
  <si>
    <t xml:space="preserve">Simone Lira</t>
  </si>
  <si>
    <t xml:space="preserve">simone.lira@grupoflexivel.com.br</t>
  </si>
  <si>
    <t xml:space="preserve">2022-10-21 16:09:20Z</t>
  </si>
  <si>
    <t xml:space="preserve">Sinval Roehrs</t>
  </si>
  <si>
    <t xml:space="preserve">sinval@novalmaquinas.com.br</t>
  </si>
  <si>
    <t xml:space="preserve">2025-06-13 11:37:19Z</t>
  </si>
  <si>
    <t xml:space="preserve">Suele Mendes Lustosa</t>
  </si>
  <si>
    <t xml:space="preserve">suele.lustosa@grupoflexivel.com.br</t>
  </si>
  <si>
    <t xml:space="preserve">2025-09-23 11:37:24Z</t>
  </si>
  <si>
    <t xml:space="preserve">Talita Montini</t>
  </si>
  <si>
    <t xml:space="preserve">talita.montini@grupoflexivel.com.br</t>
  </si>
  <si>
    <t xml:space="preserve">2024-06-20 14:10:04Z</t>
  </si>
  <si>
    <t xml:space="preserve">Talita Schimanski</t>
  </si>
  <si>
    <t xml:space="preserve">talita.schimanski@grupoflexivel.com.br</t>
  </si>
  <si>
    <t xml:space="preserve">2025-06-30 11:22:54Z</t>
  </si>
  <si>
    <t xml:space="preserve">Tamara Kopp</t>
  </si>
  <si>
    <t xml:space="preserve">tamara.kopp@grupoflexivel.com.br</t>
  </si>
  <si>
    <t xml:space="preserve">2022-10-21 16:09:24Z</t>
  </si>
  <si>
    <t xml:space="preserve">1.01.2.1.01.013-Coordenação Comercial de Operações</t>
  </si>
  <si>
    <t xml:space="preserve">Tamara Mathias</t>
  </si>
  <si>
    <t xml:space="preserve">tamara.mathias@grupoflexivel.com.br</t>
  </si>
  <si>
    <t xml:space="preserve">2022-10-21 16:09:23Z</t>
  </si>
  <si>
    <t xml:space="preserve">Tancredo Lannes Neto</t>
  </si>
  <si>
    <t xml:space="preserve">tancredo.neto@polivedo.com.br</t>
  </si>
  <si>
    <t xml:space="preserve">2025-07-08 14:18:41Z</t>
  </si>
  <si>
    <t xml:space="preserve">1.01.2.1.05.027-Vendas Externas 6 PO - Tancredo</t>
  </si>
  <si>
    <t xml:space="preserve">Tasciane Broca</t>
  </si>
  <si>
    <t xml:space="preserve">tasciane.broca@grupoflexivel.com.br</t>
  </si>
  <si>
    <t xml:space="preserve">2022-10-21 16:09:25Z</t>
  </si>
  <si>
    <t xml:space="preserve">Tatiane Evangelista</t>
  </si>
  <si>
    <t xml:space="preserve">tatiane.evangelista@grupoflexivel.com.br</t>
  </si>
  <si>
    <t xml:space="preserve">2022-11-22 15:59:01Z</t>
  </si>
  <si>
    <t xml:space="preserve">Thaize Schmitz</t>
  </si>
  <si>
    <t xml:space="preserve">thaize.schmitz@grupoflexivel.com.br</t>
  </si>
  <si>
    <t xml:space="preserve">2023-08-24 17:30:53Z</t>
  </si>
  <si>
    <t xml:space="preserve">Thiago Rodrigo Sampaio</t>
  </si>
  <si>
    <t xml:space="preserve">thiago.sampaio@polivedo.com.br</t>
  </si>
  <si>
    <t xml:space="preserve">2024-11-05 12:04:27Z</t>
  </si>
  <si>
    <t xml:space="preserve">1.01.2.1.05.021-Vendas Externas 1 PO - Thiago</t>
  </si>
  <si>
    <t xml:space="preserve">Tiago Luiz Berri</t>
  </si>
  <si>
    <t xml:space="preserve">tiago.berri@grupoflexivel.com.br</t>
  </si>
  <si>
    <t xml:space="preserve">2025-04-14 16:36:15Z</t>
  </si>
  <si>
    <t xml:space="preserve">1.01.2.1.06.013-Logística Caminhão SXL1J66</t>
  </si>
  <si>
    <t xml:space="preserve">Tiffani Louise dos Santos Schweitzer</t>
  </si>
  <si>
    <t xml:space="preserve">tiffani.santos@grupoflexivel.com.br</t>
  </si>
  <si>
    <t xml:space="preserve">2022-10-21 16:09:29Z</t>
  </si>
  <si>
    <t xml:space="preserve">1.01.2.1.05.019-Inteligência de mercado</t>
  </si>
  <si>
    <t xml:space="preserve">Tony Geraldy Suppi</t>
  </si>
  <si>
    <t xml:space="preserve">tony.suppi@grupoflexivel.com.br</t>
  </si>
  <si>
    <t xml:space="preserve">2025-04-22 16:19:05Z</t>
  </si>
  <si>
    <t xml:space="preserve">Valdir Peron</t>
  </si>
  <si>
    <t xml:space="preserve">valdir.peron@grupoflexivel.com.br</t>
  </si>
  <si>
    <t xml:space="preserve">2022-10-21 16:09:31Z</t>
  </si>
  <si>
    <t xml:space="preserve">1.01.2.1.01.004-Vendas Externas 1 - Peron</t>
  </si>
  <si>
    <t xml:space="preserve">Victor Soares</t>
  </si>
  <si>
    <t xml:space="preserve">victor.soares@polivedo.com.br</t>
  </si>
  <si>
    <t xml:space="preserve">2025-06-09 13:04:19Z</t>
  </si>
  <si>
    <t xml:space="preserve">1.01.2.1.05.025-Vendas Externas 4 PO - Victor</t>
  </si>
  <si>
    <t xml:space="preserve">Vitoria Costa Benevenuti</t>
  </si>
  <si>
    <t xml:space="preserve">vitoria.benevenuti@grupoflexivel.com.br</t>
  </si>
  <si>
    <t xml:space="preserve">2025-01-27 11:24:13Z</t>
  </si>
  <si>
    <t xml:space="preserve">Vitória Negherbon Colpini</t>
  </si>
  <si>
    <t xml:space="preserve">estagio3@grupoflexivel.com.br</t>
  </si>
  <si>
    <t xml:space="preserve">2024-04-08 11:49:08Z</t>
  </si>
  <si>
    <t xml:space="preserve">Viviane Hafemann</t>
  </si>
  <si>
    <t xml:space="preserve">viviane.hafemann@grupoflexivel.com.br</t>
  </si>
  <si>
    <t xml:space="preserve">2025-08-05 18:04:14Z</t>
  </si>
  <si>
    <t xml:space="preserve">Wander Silveira</t>
  </si>
  <si>
    <t xml:space="preserve">wander.silveira@grupoflexivel.com.br</t>
  </si>
  <si>
    <t xml:space="preserve">2022-10-21 16:09:34Z</t>
  </si>
  <si>
    <t xml:space="preserve">Willyam Poltronieri</t>
  </si>
  <si>
    <t xml:space="preserve">willyam.poltronieri@grupoflexivel.com.br</t>
  </si>
  <si>
    <t xml:space="preserve">2022-10-21 16:09:11Z</t>
  </si>
  <si>
    <t xml:space="preserve">Yago Silva</t>
  </si>
  <si>
    <t xml:space="preserve">yago.silva@grupoflexivel.com.br</t>
  </si>
  <si>
    <t xml:space="preserve">2022-10-21 16:09:35Z</t>
  </si>
  <si>
    <t xml:space="preserve">1.01.2.1.05.013-Vendas Externas 7 - Yago</t>
  </si>
  <si>
    <t xml:space="preserve">emanuelly.giese@grupoflexivel.com.br </t>
  </si>
  <si>
    <t xml:space="preserve">2025-11-19T12:52:48Z</t>
  </si>
  <si>
    <t xml:space="preserve">Anna Luiza Lima Zortea</t>
  </si>
  <si>
    <t xml:space="preserve">anna.zortea@grupoflexivel.com.br </t>
  </si>
  <si>
    <t xml:space="preserve">2025-10-29T11:03:01Z</t>
  </si>
  <si>
    <t xml:space="preserve">Yasmin Fujigara</t>
  </si>
  <si>
    <t xml:space="preserve">estagio4@grupoflexivel.com.br</t>
  </si>
  <si>
    <t xml:space="preserve">2025-11-05T13:58:16Z</t>
  </si>
  <si>
    <t xml:space="preserve">Fabio Zanotelli</t>
  </si>
  <si>
    <t xml:space="preserve">fabio.zanotelli@grupoflexivel.com.br </t>
  </si>
  <si>
    <t xml:space="preserve">2025-10-22T16:41:56Z</t>
  </si>
  <si>
    <t xml:space="preserve">Felipe Predomo</t>
  </si>
  <si>
    <t xml:space="preserve">felipe.predomo@grupoflexivel.com.br </t>
  </si>
  <si>
    <t xml:space="preserve">2025-10-28T19:31:54Z</t>
  </si>
  <si>
    <t xml:space="preserve">*</t>
  </si>
  <si>
    <t xml:space="preserve">Filipe Possamai</t>
  </si>
  <si>
    <t xml:space="preserve">filipe.possamai@grupoflexivel.com.br </t>
  </si>
  <si>
    <t xml:space="preserve">2025-10-16T13:35:14Z</t>
  </si>
  <si>
    <t xml:space="preserve">Gabriela Reiner</t>
  </si>
  <si>
    <t xml:space="preserve">gabriela.reinert@grupoflexivel.com.br </t>
  </si>
  <si>
    <t xml:space="preserve">2025-10-29T11:04:10Z</t>
  </si>
  <si>
    <t xml:space="preserve">Jacson Maia</t>
  </si>
  <si>
    <t xml:space="preserve">jacson.maia@grupoflexivel.com.br </t>
  </si>
  <si>
    <t xml:space="preserve">2025-10-21T11:03:20Z</t>
  </si>
  <si>
    <t xml:space="preserve">Janaina Maia</t>
  </si>
  <si>
    <t xml:space="preserve">janaina.souza@grupoflexivel.com.br </t>
  </si>
  <si>
    <t xml:space="preserve">2025-11-11T20:08:57Z</t>
  </si>
  <si>
    <t xml:space="preserve">Jeferson Viccari</t>
  </si>
  <si>
    <t xml:space="preserve">jefferson.viccari@grupoflexivel.com.br </t>
  </si>
  <si>
    <t xml:space="preserve">2025-11-24T10:49:38Z</t>
  </si>
  <si>
    <t xml:space="preserve">Lincol Nishiura</t>
  </si>
  <si>
    <t xml:space="preserve">lincoln.nishiura@evo.ind.br </t>
  </si>
  <si>
    <t xml:space="preserve">2025-11-11T17:04:30Z</t>
  </si>
  <si>
    <t xml:space="preserve">Ricardo Voigt</t>
  </si>
  <si>
    <t xml:space="preserve">ricardo.voigt@grupoflexivel.com.br </t>
  </si>
  <si>
    <t xml:space="preserve">2025-11-10T19:59:09Z</t>
  </si>
  <si>
    <t xml:space="preserve">Richelle Pereira</t>
  </si>
  <si>
    <t xml:space="preserve">richelle.pereira@grupoflexivel.com.br </t>
  </si>
  <si>
    <t xml:space="preserve">2025-11-11T17:05:31Z</t>
  </si>
  <si>
    <t xml:space="preserve">Viviane Borges</t>
  </si>
  <si>
    <t xml:space="preserve">viviane.borges@grupoflexivel.com.br </t>
  </si>
  <si>
    <t xml:space="preserve">2025-11-11T17:06:16Z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</si>
</sst>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yyyy\-mm\-dd;@"/>
    <numFmt numFmtId="167" formatCode="d/m/yyyy"/>
    <numFmt numFmtId="168" formatCode="d/m/yyyy\ hh:mm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stagio4@grupoflexivel.com.br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6"/>
  <sheetViews>
    <sheetView showFormulas="false" showGridLines="true" showRowColHeaders="true" showZeros="true" rightToLeft="false" tabSelected="true" showOutlineSymbols="true" defaultGridColor="true" view="normal" topLeftCell="D190" colorId="64" zoomScale="100" zoomScaleNormal="100" zoomScalePageLayoutView="100" workbookViewId="0">
      <selection pane="topLeft" activeCell="S192" activeCellId="0" sqref="S192:S206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31.44"/>
    <col collapsed="false" customWidth="true" hidden="false" outlineLevel="0" max="2" min="2" style="0" width="33.33"/>
    <col collapsed="false" customWidth="true" hidden="false" outlineLevel="0" max="3" min="3" style="0" width="39.66"/>
    <col collapsed="false" customWidth="true" hidden="false" outlineLevel="0" max="5" min="4" style="0" width="23.33"/>
    <col collapsed="false" customWidth="true" hidden="false" outlineLevel="0" max="6" min="6" style="0" width="36.55"/>
    <col collapsed="false" customWidth="true" hidden="false" outlineLevel="0" max="7" min="7" style="0" width="35.82"/>
    <col collapsed="false" customWidth="true" hidden="false" outlineLevel="0" max="8" min="8" style="0" width="36.55"/>
    <col collapsed="false" customWidth="true" hidden="false" outlineLevel="0" max="9" min="9" style="0" width="76.89"/>
    <col collapsed="false" customWidth="true" hidden="false" outlineLevel="0" max="10" min="10" style="0" width="24.89"/>
    <col collapsed="false" customWidth="true" hidden="false" outlineLevel="0" max="11" min="11" style="0" width="15.11"/>
    <col collapsed="false" customWidth="true" hidden="false" outlineLevel="0" max="12" min="12" style="0" width="14.11"/>
    <col collapsed="false" customWidth="true" hidden="false" outlineLevel="0" max="14" min="13" style="0" width="16.11"/>
    <col collapsed="false" customWidth="true" hidden="false" outlineLevel="0" max="15" min="15" style="1" width="14.11"/>
    <col collapsed="false" customWidth="true" hidden="false" outlineLevel="0" max="16" min="16" style="1" width="20.11"/>
    <col collapsed="false" customWidth="true" hidden="false" outlineLevel="0" max="17" min="17" style="0" width="24.44"/>
    <col collapsed="false" customWidth="true" hidden="false" outlineLevel="0" max="18" min="18" style="1" width="11.55"/>
    <col collapsed="false" customWidth="true" hidden="false" outlineLevel="0" max="19" min="19" style="0" width="14"/>
    <col collapsed="false" customWidth="true" hidden="false" outlineLevel="0" max="20" min="20" style="0" width="16.5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2" t="s">
        <v>18</v>
      </c>
    </row>
    <row r="2" customFormat="false" ht="15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5" t="n">
        <f aca="false">DATEVALUE(LEFT(D2,10))</f>
        <v>45852</v>
      </c>
      <c r="F2" s="4" t="s">
        <v>23</v>
      </c>
      <c r="G2" s="4" t="s">
        <v>23</v>
      </c>
      <c r="H2" s="6" t="s">
        <v>24</v>
      </c>
      <c r="I2" s="4" t="s">
        <v>25</v>
      </c>
      <c r="J2" s="4" t="s">
        <v>26</v>
      </c>
      <c r="K2" s="7" t="n">
        <v>45814</v>
      </c>
      <c r="L2" s="7" t="n">
        <v>46179</v>
      </c>
      <c r="M2" s="8" t="n">
        <f aca="false">DATEDIF(K2,L2,"m")</f>
        <v>12</v>
      </c>
      <c r="N2" s="8" t="n">
        <f aca="false">DATEDIF(E2,L2,"m")</f>
        <v>10</v>
      </c>
      <c r="O2" s="9" t="n">
        <v>1794.5</v>
      </c>
      <c r="P2" s="9" t="n">
        <f aca="false">O2/M2</f>
        <v>149.541666666667</v>
      </c>
      <c r="Q2" s="4" t="n">
        <v>1</v>
      </c>
      <c r="R2" s="10" t="n">
        <f aca="false">IF(N2&lt;=12,N2*P2,O2)</f>
        <v>1495.41666666667</v>
      </c>
      <c r="S2" s="4" t="s">
        <v>27</v>
      </c>
    </row>
    <row r="3" customFormat="false" ht="15" hidden="false" customHeight="false" outlineLevel="0" collapsed="false">
      <c r="A3" s="4" t="s">
        <v>28</v>
      </c>
      <c r="B3" s="4" t="s">
        <v>29</v>
      </c>
      <c r="C3" s="4" t="s">
        <v>30</v>
      </c>
      <c r="D3" s="11" t="s">
        <v>31</v>
      </c>
      <c r="E3" s="5" t="n">
        <f aca="false">DATEVALUE(LEFT(D3,10))</f>
        <v>44855</v>
      </c>
      <c r="F3" s="4" t="s">
        <v>32</v>
      </c>
      <c r="G3" s="6" t="s">
        <v>33</v>
      </c>
      <c r="H3" s="4" t="s">
        <v>24</v>
      </c>
      <c r="I3" s="4" t="s">
        <v>25</v>
      </c>
      <c r="J3" s="4" t="s">
        <v>26</v>
      </c>
      <c r="K3" s="7" t="n">
        <v>45777</v>
      </c>
      <c r="L3" s="7" t="n">
        <v>46142</v>
      </c>
      <c r="M3" s="8" t="n">
        <f aca="false">DATEDIF(K3,L3,"m")</f>
        <v>12</v>
      </c>
      <c r="N3" s="8" t="n">
        <f aca="false">DATEDIF(E3,L3,"m")</f>
        <v>42</v>
      </c>
      <c r="O3" s="12" t="n">
        <v>1663</v>
      </c>
      <c r="P3" s="9" t="n">
        <v>149.5</v>
      </c>
      <c r="Q3" s="4" t="n">
        <v>1</v>
      </c>
      <c r="R3" s="10" t="n">
        <f aca="false">IF(N3&lt;=12,N3*P3,O3)</f>
        <v>1663</v>
      </c>
      <c r="S3" s="4" t="s">
        <v>27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34</v>
      </c>
      <c r="D4" s="11" t="s">
        <v>35</v>
      </c>
      <c r="E4" s="5" t="n">
        <f aca="false">DATEVALUE(LEFT(D4,10))</f>
        <v>45755</v>
      </c>
      <c r="F4" s="13" t="s">
        <v>36</v>
      </c>
      <c r="G4" s="4" t="s">
        <v>33</v>
      </c>
      <c r="H4" s="4" t="s">
        <v>24</v>
      </c>
      <c r="I4" s="4" t="s">
        <v>37</v>
      </c>
      <c r="J4" s="4" t="s">
        <v>38</v>
      </c>
      <c r="K4" s="7" t="n">
        <v>45944</v>
      </c>
      <c r="L4" s="7" t="n">
        <v>46309</v>
      </c>
      <c r="M4" s="8" t="n">
        <f aca="false">DATEDIF(K4,L4,"m")</f>
        <v>12</v>
      </c>
      <c r="N4" s="8" t="n">
        <f aca="false">DATEDIF(E4,L4,"m")</f>
        <v>18</v>
      </c>
      <c r="O4" s="12" t="n">
        <v>298.8</v>
      </c>
      <c r="P4" s="9" t="n">
        <f aca="false">O4/M4</f>
        <v>24.9</v>
      </c>
      <c r="Q4" s="4" t="n">
        <v>1</v>
      </c>
      <c r="R4" s="10" t="n">
        <f aca="false">IF(N4&lt;=12,N4*P4,O4)</f>
        <v>298.8</v>
      </c>
      <c r="S4" s="4" t="s">
        <v>27</v>
      </c>
    </row>
    <row r="5" customFormat="false" ht="15" hidden="false" customHeight="false" outlineLevel="0" collapsed="false">
      <c r="A5" s="4" t="s">
        <v>28</v>
      </c>
      <c r="B5" s="4" t="s">
        <v>39</v>
      </c>
      <c r="C5" s="4" t="s">
        <v>40</v>
      </c>
      <c r="D5" s="11" t="s">
        <v>41</v>
      </c>
      <c r="E5" s="5" t="n">
        <f aca="false">DATEVALUE(LEFT(D5,10))</f>
        <v>44858</v>
      </c>
      <c r="F5" s="4" t="s">
        <v>42</v>
      </c>
      <c r="G5" s="4" t="s">
        <v>43</v>
      </c>
      <c r="H5" s="4" t="s">
        <v>24</v>
      </c>
      <c r="I5" s="4" t="s">
        <v>25</v>
      </c>
      <c r="J5" s="4" t="s">
        <v>26</v>
      </c>
      <c r="K5" s="7" t="n">
        <v>45777</v>
      </c>
      <c r="L5" s="7" t="n">
        <v>46142</v>
      </c>
      <c r="M5" s="8" t="n">
        <f aca="false">DATEDIF(K5,L5,"m")</f>
        <v>12</v>
      </c>
      <c r="N5" s="8" t="n">
        <f aca="false">DATEDIF(E5,L5,"m")</f>
        <v>42</v>
      </c>
      <c r="O5" s="12" t="n">
        <v>1663</v>
      </c>
      <c r="P5" s="9" t="n">
        <v>149.5</v>
      </c>
      <c r="Q5" s="4" t="n">
        <v>1</v>
      </c>
      <c r="R5" s="10" t="n">
        <f aca="false">IF(N5&lt;=12,N5*P5,O5)</f>
        <v>1663</v>
      </c>
      <c r="S5" s="4" t="s">
        <v>27</v>
      </c>
    </row>
    <row r="6" customFormat="false" ht="15" hidden="false" customHeight="false" outlineLevel="0" collapsed="false">
      <c r="A6" s="4" t="s">
        <v>28</v>
      </c>
      <c r="B6" s="4" t="s">
        <v>44</v>
      </c>
      <c r="C6" s="4" t="s">
        <v>45</v>
      </c>
      <c r="D6" s="11" t="s">
        <v>46</v>
      </c>
      <c r="E6" s="5" t="n">
        <f aca="false">DATEVALUE(LEFT(D6,10))</f>
        <v>44859</v>
      </c>
      <c r="F6" s="4" t="s">
        <v>47</v>
      </c>
      <c r="G6" s="4" t="s">
        <v>48</v>
      </c>
      <c r="H6" s="4" t="s">
        <v>24</v>
      </c>
      <c r="I6" s="4" t="s">
        <v>25</v>
      </c>
      <c r="J6" s="4" t="s">
        <v>26</v>
      </c>
      <c r="K6" s="7" t="n">
        <v>45777</v>
      </c>
      <c r="L6" s="7" t="n">
        <v>46142</v>
      </c>
      <c r="M6" s="8" t="n">
        <f aca="false">DATEDIF(K6,L6,"m")</f>
        <v>12</v>
      </c>
      <c r="N6" s="8" t="n">
        <f aca="false">DATEDIF(E6,L6,"m")</f>
        <v>42</v>
      </c>
      <c r="O6" s="12" t="n">
        <v>1663</v>
      </c>
      <c r="P6" s="9" t="n">
        <v>149.5</v>
      </c>
      <c r="Q6" s="4" t="n">
        <v>1</v>
      </c>
      <c r="R6" s="10" t="n">
        <f aca="false">IF(N6&lt;=12,N6*P6,O6)</f>
        <v>1663</v>
      </c>
      <c r="S6" s="4" t="s">
        <v>27</v>
      </c>
    </row>
    <row r="7" customFormat="false" ht="15" hidden="false" customHeight="false" outlineLevel="0" collapsed="false">
      <c r="A7" s="4" t="s">
        <v>28</v>
      </c>
      <c r="B7" s="4" t="s">
        <v>49</v>
      </c>
      <c r="C7" s="4" t="s">
        <v>50</v>
      </c>
      <c r="D7" s="11" t="s">
        <v>51</v>
      </c>
      <c r="E7" s="5" t="n">
        <f aca="false">DATEVALUE(LEFT(D7,10))</f>
        <v>44855</v>
      </c>
      <c r="F7" s="4" t="s">
        <v>52</v>
      </c>
      <c r="G7" s="6" t="s">
        <v>53</v>
      </c>
      <c r="H7" s="4" t="s">
        <v>24</v>
      </c>
      <c r="I7" s="4" t="s">
        <v>25</v>
      </c>
      <c r="J7" s="4" t="s">
        <v>26</v>
      </c>
      <c r="K7" s="7" t="n">
        <v>45777</v>
      </c>
      <c r="L7" s="7" t="n">
        <v>46142</v>
      </c>
      <c r="M7" s="8" t="n">
        <f aca="false">DATEDIF(K7,L7,"m")</f>
        <v>12</v>
      </c>
      <c r="N7" s="8" t="n">
        <f aca="false">DATEDIF(E7,L7,"m")</f>
        <v>42</v>
      </c>
      <c r="O7" s="12" t="n">
        <v>1663</v>
      </c>
      <c r="P7" s="12" t="n">
        <v>24.9</v>
      </c>
      <c r="Q7" s="4" t="n">
        <v>1</v>
      </c>
      <c r="R7" s="10" t="n">
        <f aca="false">IF(N7&lt;=12,N7*P7,O7)</f>
        <v>1663</v>
      </c>
      <c r="S7" s="4" t="s">
        <v>27</v>
      </c>
      <c r="T7" s="14"/>
    </row>
    <row r="8" customFormat="false" ht="15" hidden="false" customHeight="false" outlineLevel="0" collapsed="false">
      <c r="A8" s="4" t="s">
        <v>28</v>
      </c>
      <c r="B8" s="4" t="s">
        <v>54</v>
      </c>
      <c r="C8" s="4" t="s">
        <v>55</v>
      </c>
      <c r="D8" s="11" t="s">
        <v>56</v>
      </c>
      <c r="E8" s="5" t="n">
        <f aca="false">DATEVALUE(LEFT(D8,10))</f>
        <v>44855</v>
      </c>
      <c r="F8" s="4" t="s">
        <v>42</v>
      </c>
      <c r="G8" s="6" t="s">
        <v>57</v>
      </c>
      <c r="H8" s="4" t="s">
        <v>24</v>
      </c>
      <c r="I8" s="4" t="s">
        <v>25</v>
      </c>
      <c r="J8" s="4" t="s">
        <v>26</v>
      </c>
      <c r="K8" s="7" t="n">
        <v>45777</v>
      </c>
      <c r="L8" s="7" t="n">
        <v>46142</v>
      </c>
      <c r="M8" s="8" t="n">
        <f aca="false">DATEDIF(K8,L8,"m")</f>
        <v>12</v>
      </c>
      <c r="N8" s="8" t="n">
        <f aca="false">DATEDIF(E8,L8,"m")</f>
        <v>42</v>
      </c>
      <c r="O8" s="12" t="n">
        <v>1663</v>
      </c>
      <c r="P8" s="9" t="n">
        <v>149.5</v>
      </c>
      <c r="Q8" s="4" t="n">
        <v>1</v>
      </c>
      <c r="R8" s="10" t="n">
        <f aca="false">IF(N8&lt;=12,N8*P8,O8)</f>
        <v>1663</v>
      </c>
      <c r="S8" s="4" t="s">
        <v>27</v>
      </c>
    </row>
    <row r="9" customFormat="false" ht="15" hidden="false" customHeight="false" outlineLevel="0" collapsed="false">
      <c r="A9" s="4" t="s">
        <v>28</v>
      </c>
      <c r="B9" s="4" t="s">
        <v>58</v>
      </c>
      <c r="C9" s="4" t="s">
        <v>59</v>
      </c>
      <c r="D9" s="11" t="s">
        <v>60</v>
      </c>
      <c r="E9" s="5" t="n">
        <f aca="false">DATEVALUE(LEFT(D9,10))</f>
        <v>44855</v>
      </c>
      <c r="F9" s="4" t="s">
        <v>61</v>
      </c>
      <c r="G9" s="4" t="s">
        <v>62</v>
      </c>
      <c r="H9" s="4" t="s">
        <v>24</v>
      </c>
      <c r="I9" s="4" t="s">
        <v>25</v>
      </c>
      <c r="J9" s="4" t="s">
        <v>26</v>
      </c>
      <c r="K9" s="7" t="n">
        <v>45777</v>
      </c>
      <c r="L9" s="7" t="n">
        <v>46142</v>
      </c>
      <c r="M9" s="8" t="n">
        <f aca="false">DATEDIF(K9,L9,"m")</f>
        <v>12</v>
      </c>
      <c r="N9" s="8" t="n">
        <f aca="false">DATEDIF(E9,L9,"m")</f>
        <v>42</v>
      </c>
      <c r="O9" s="12" t="n">
        <v>1663</v>
      </c>
      <c r="P9" s="12" t="n">
        <f aca="false">O9/12</f>
        <v>138.583333333333</v>
      </c>
      <c r="Q9" s="4" t="n">
        <v>1</v>
      </c>
      <c r="R9" s="10" t="n">
        <f aca="false">IF(N9&lt;=12,N9*P9,O9)</f>
        <v>1663</v>
      </c>
      <c r="S9" s="4" t="s">
        <v>27</v>
      </c>
    </row>
    <row r="10" customFormat="false" ht="15" hidden="false" customHeight="false" outlineLevel="0" collapsed="false">
      <c r="A10" s="4" t="s">
        <v>28</v>
      </c>
      <c r="B10" s="4" t="s">
        <v>63</v>
      </c>
      <c r="C10" s="4" t="s">
        <v>64</v>
      </c>
      <c r="D10" s="11" t="s">
        <v>65</v>
      </c>
      <c r="E10" s="5" t="n">
        <f aca="false">DATEVALUE(LEFT(D10,10))</f>
        <v>45555</v>
      </c>
      <c r="F10" s="13" t="s">
        <v>36</v>
      </c>
      <c r="G10" s="15" t="s">
        <v>33</v>
      </c>
      <c r="H10" s="4" t="s">
        <v>24</v>
      </c>
      <c r="I10" s="4" t="s">
        <v>25</v>
      </c>
      <c r="J10" s="4" t="s">
        <v>26</v>
      </c>
      <c r="K10" s="7" t="n">
        <v>45777</v>
      </c>
      <c r="L10" s="7" t="n">
        <v>46142</v>
      </c>
      <c r="M10" s="8" t="n">
        <f aca="false">DATEDIF(K10,L10,"m")</f>
        <v>12</v>
      </c>
      <c r="N10" s="8" t="n">
        <f aca="false">DATEDIF(E10,L10,"m")</f>
        <v>19</v>
      </c>
      <c r="O10" s="12" t="n">
        <v>1663</v>
      </c>
      <c r="P10" s="12" t="n">
        <f aca="false">O10/12</f>
        <v>138.583333333333</v>
      </c>
      <c r="Q10" s="4" t="n">
        <v>1</v>
      </c>
      <c r="R10" s="10" t="n">
        <f aca="false">IF(N10&lt;=12,N10*P10,O10)</f>
        <v>1663</v>
      </c>
      <c r="S10" s="4" t="s">
        <v>27</v>
      </c>
    </row>
    <row r="11" customFormat="false" ht="15" hidden="false" customHeight="false" outlineLevel="0" collapsed="false">
      <c r="A11" s="4" t="s">
        <v>28</v>
      </c>
      <c r="B11" s="4" t="s">
        <v>66</v>
      </c>
      <c r="C11" s="4" t="s">
        <v>67</v>
      </c>
      <c r="D11" s="11" t="s">
        <v>68</v>
      </c>
      <c r="E11" s="5" t="n">
        <f aca="false">DATEVALUE(LEFT(D11,10))</f>
        <v>44855</v>
      </c>
      <c r="F11" s="4" t="s">
        <v>66</v>
      </c>
      <c r="G11" s="15" t="s">
        <v>69</v>
      </c>
      <c r="H11" s="4" t="s">
        <v>24</v>
      </c>
      <c r="I11" s="4" t="s">
        <v>25</v>
      </c>
      <c r="J11" s="4" t="s">
        <v>26</v>
      </c>
      <c r="K11" s="7" t="n">
        <v>45777</v>
      </c>
      <c r="L11" s="7" t="n">
        <v>46142</v>
      </c>
      <c r="M11" s="8" t="n">
        <f aca="false">DATEDIF(K11,L11,"m")</f>
        <v>12</v>
      </c>
      <c r="N11" s="8" t="n">
        <f aca="false">DATEDIF(E11,L11,"m")</f>
        <v>42</v>
      </c>
      <c r="O11" s="12" t="n">
        <v>1663</v>
      </c>
      <c r="P11" s="12" t="n">
        <f aca="false">O11/12</f>
        <v>138.583333333333</v>
      </c>
      <c r="Q11" s="4" t="n">
        <v>1</v>
      </c>
      <c r="R11" s="10" t="n">
        <f aca="false">IF(N11&lt;=12,N11*P11,O11)</f>
        <v>1663</v>
      </c>
      <c r="S11" s="4" t="s">
        <v>27</v>
      </c>
    </row>
    <row r="12" customFormat="false" ht="15" hidden="false" customHeight="false" outlineLevel="0" collapsed="false">
      <c r="A12" s="4" t="s">
        <v>28</v>
      </c>
      <c r="B12" s="4" t="s">
        <v>70</v>
      </c>
      <c r="C12" s="4" t="s">
        <v>71</v>
      </c>
      <c r="D12" s="11" t="s">
        <v>72</v>
      </c>
      <c r="E12" s="5" t="n">
        <f aca="false">DATEVALUE(LEFT(D12,10))</f>
        <v>45894</v>
      </c>
      <c r="F12" s="4" t="s">
        <v>73</v>
      </c>
      <c r="G12" s="15" t="s">
        <v>74</v>
      </c>
      <c r="H12" s="4" t="s">
        <v>24</v>
      </c>
      <c r="I12" s="4" t="s">
        <v>25</v>
      </c>
      <c r="J12" s="4" t="s">
        <v>26</v>
      </c>
      <c r="K12" s="7" t="n">
        <v>45777</v>
      </c>
      <c r="L12" s="7" t="n">
        <v>46142</v>
      </c>
      <c r="M12" s="8" t="n">
        <f aca="false">DATEDIF(K12,L12,"m")</f>
        <v>12</v>
      </c>
      <c r="N12" s="8" t="n">
        <f aca="false">DATEDIF(E12,L12,"m")</f>
        <v>8</v>
      </c>
      <c r="O12" s="12" t="n">
        <v>1663</v>
      </c>
      <c r="P12" s="12" t="n">
        <f aca="false">O12/12</f>
        <v>138.583333333333</v>
      </c>
      <c r="Q12" s="4" t="n">
        <v>1</v>
      </c>
      <c r="R12" s="10" t="n">
        <f aca="false">IF(N12&lt;=12,N12*P12,O12)</f>
        <v>1108.66666666667</v>
      </c>
      <c r="S12" s="4" t="s">
        <v>27</v>
      </c>
    </row>
    <row r="13" customFormat="false" ht="15" hidden="false" customHeight="false" outlineLevel="0" collapsed="false">
      <c r="A13" s="4" t="s">
        <v>28</v>
      </c>
      <c r="B13" s="4" t="s">
        <v>75</v>
      </c>
      <c r="C13" s="4" t="s">
        <v>76</v>
      </c>
      <c r="D13" s="11" t="s">
        <v>77</v>
      </c>
      <c r="E13" s="5" t="n">
        <f aca="false">DATEVALUE(LEFT(D13,10))</f>
        <v>45484</v>
      </c>
      <c r="F13" s="4" t="s">
        <v>78</v>
      </c>
      <c r="G13" s="4" t="s">
        <v>79</v>
      </c>
      <c r="H13" s="4" t="s">
        <v>24</v>
      </c>
      <c r="I13" s="4" t="s">
        <v>25</v>
      </c>
      <c r="J13" s="4" t="s">
        <v>26</v>
      </c>
      <c r="K13" s="7" t="n">
        <v>45777</v>
      </c>
      <c r="L13" s="7" t="n">
        <v>46142</v>
      </c>
      <c r="M13" s="8" t="n">
        <f aca="false">DATEDIF(K13,L13,"m")</f>
        <v>12</v>
      </c>
      <c r="N13" s="8" t="n">
        <f aca="false">DATEDIF(E13,L13,"m")</f>
        <v>21</v>
      </c>
      <c r="O13" s="12" t="n">
        <v>1663</v>
      </c>
      <c r="P13" s="12" t="n">
        <f aca="false">O13/12</f>
        <v>138.583333333333</v>
      </c>
      <c r="Q13" s="4" t="n">
        <v>1</v>
      </c>
      <c r="R13" s="10" t="n">
        <f aca="false">IF(N13&lt;=12,N13*P13,O13)</f>
        <v>1663</v>
      </c>
      <c r="S13" s="4" t="s">
        <v>27</v>
      </c>
    </row>
    <row r="14" customFormat="false" ht="15" hidden="false" customHeight="false" outlineLevel="0" collapsed="false">
      <c r="A14" s="4" t="s">
        <v>28</v>
      </c>
      <c r="B14" s="4" t="s">
        <v>75</v>
      </c>
      <c r="C14" s="4" t="s">
        <v>76</v>
      </c>
      <c r="D14" s="11" t="s">
        <v>77</v>
      </c>
      <c r="E14" s="5" t="n">
        <f aca="false">DATEVALUE(LEFT(D14,10))</f>
        <v>45484</v>
      </c>
      <c r="F14" s="4" t="s">
        <v>78</v>
      </c>
      <c r="G14" s="4" t="s">
        <v>79</v>
      </c>
      <c r="H14" s="4" t="s">
        <v>24</v>
      </c>
      <c r="I14" s="4" t="s">
        <v>80</v>
      </c>
      <c r="J14" s="4" t="s">
        <v>38</v>
      </c>
      <c r="K14" s="7" t="n">
        <v>45997</v>
      </c>
      <c r="L14" s="7" t="n">
        <v>46362</v>
      </c>
      <c r="M14" s="8" t="n">
        <f aca="false">DATEDIF(K14,L14,"m")</f>
        <v>12</v>
      </c>
      <c r="N14" s="8" t="n">
        <f aca="false">DATEDIF(E14,L14,"m")</f>
        <v>28</v>
      </c>
      <c r="O14" s="16" t="n">
        <v>542.8</v>
      </c>
      <c r="P14" s="12" t="n">
        <f aca="false">O14/M14</f>
        <v>45.2333333333333</v>
      </c>
      <c r="Q14" s="4" t="n">
        <v>1</v>
      </c>
      <c r="R14" s="10" t="n">
        <f aca="false">IF(N14&lt;=12,N14*P14,O14)</f>
        <v>542.8</v>
      </c>
      <c r="S14" s="4" t="s">
        <v>27</v>
      </c>
    </row>
    <row r="15" customFormat="false" ht="15" hidden="false" customHeight="false" outlineLevel="0" collapsed="false">
      <c r="A15" s="4" t="s">
        <v>28</v>
      </c>
      <c r="B15" s="4" t="s">
        <v>81</v>
      </c>
      <c r="C15" s="4" t="s">
        <v>82</v>
      </c>
      <c r="D15" s="11" t="s">
        <v>83</v>
      </c>
      <c r="E15" s="5" t="n">
        <f aca="false">DATEVALUE(LEFT(D15,10))</f>
        <v>45798</v>
      </c>
      <c r="F15" s="4" t="s">
        <v>52</v>
      </c>
      <c r="G15" s="4" t="s">
        <v>53</v>
      </c>
      <c r="H15" s="4" t="s">
        <v>24</v>
      </c>
      <c r="I15" s="4" t="s">
        <v>25</v>
      </c>
      <c r="J15" s="4" t="s">
        <v>26</v>
      </c>
      <c r="K15" s="7" t="n">
        <v>45777</v>
      </c>
      <c r="L15" s="7" t="n">
        <v>46142</v>
      </c>
      <c r="M15" s="8" t="n">
        <f aca="false">DATEDIF(K15,L15,"m")</f>
        <v>12</v>
      </c>
      <c r="N15" s="8" t="n">
        <f aca="false">DATEDIF(E15,L15,"m")</f>
        <v>11</v>
      </c>
      <c r="O15" s="12" t="n">
        <v>1663</v>
      </c>
      <c r="P15" s="12" t="n">
        <f aca="false">O15/12</f>
        <v>138.583333333333</v>
      </c>
      <c r="Q15" s="4" t="n">
        <v>1</v>
      </c>
      <c r="R15" s="10" t="n">
        <f aca="false">IF(N15&lt;=12,N15*P15,O15)</f>
        <v>1524.41666666667</v>
      </c>
      <c r="S15" s="4" t="s">
        <v>27</v>
      </c>
    </row>
    <row r="16" customFormat="false" ht="15" hidden="false" customHeight="false" outlineLevel="0" collapsed="false">
      <c r="A16" s="4" t="s">
        <v>28</v>
      </c>
      <c r="B16" s="4" t="s">
        <v>84</v>
      </c>
      <c r="C16" s="4" t="s">
        <v>85</v>
      </c>
      <c r="D16" s="11" t="s">
        <v>86</v>
      </c>
      <c r="E16" s="5" t="n">
        <f aca="false">DATEVALUE(LEFT(D16,10))</f>
        <v>45804</v>
      </c>
      <c r="F16" s="4" t="s">
        <v>42</v>
      </c>
      <c r="G16" s="4" t="s">
        <v>87</v>
      </c>
      <c r="H16" s="4" t="s">
        <v>24</v>
      </c>
      <c r="I16" s="4" t="s">
        <v>25</v>
      </c>
      <c r="J16" s="4" t="s">
        <v>26</v>
      </c>
      <c r="K16" s="7" t="n">
        <v>45777</v>
      </c>
      <c r="L16" s="7" t="n">
        <v>46142</v>
      </c>
      <c r="M16" s="8" t="n">
        <f aca="false">DATEDIF(K16,L16,"m")</f>
        <v>12</v>
      </c>
      <c r="N16" s="8" t="n">
        <f aca="false">DATEDIF(E16,L16,"m")</f>
        <v>11</v>
      </c>
      <c r="O16" s="12" t="n">
        <v>1663</v>
      </c>
      <c r="P16" s="12" t="n">
        <f aca="false">O16/12</f>
        <v>138.583333333333</v>
      </c>
      <c r="Q16" s="4" t="n">
        <v>1</v>
      </c>
      <c r="R16" s="10" t="n">
        <f aca="false">IF(N16&lt;=12,N16*P16,O16)</f>
        <v>1524.41666666667</v>
      </c>
      <c r="S16" s="4" t="s">
        <v>27</v>
      </c>
    </row>
    <row r="17" customFormat="false" ht="15" hidden="false" customHeight="false" outlineLevel="0" collapsed="false">
      <c r="A17" s="4" t="s">
        <v>28</v>
      </c>
      <c r="B17" s="4" t="s">
        <v>88</v>
      </c>
      <c r="C17" s="4" t="s">
        <v>89</v>
      </c>
      <c r="D17" s="11" t="s">
        <v>90</v>
      </c>
      <c r="E17" s="5" t="n">
        <f aca="false">DATEVALUE(LEFT(D17,10))</f>
        <v>44855</v>
      </c>
      <c r="F17" s="4" t="s">
        <v>91</v>
      </c>
      <c r="G17" s="4" t="s">
        <v>92</v>
      </c>
      <c r="H17" s="4" t="s">
        <v>24</v>
      </c>
      <c r="I17" s="4" t="s">
        <v>25</v>
      </c>
      <c r="J17" s="4" t="s">
        <v>26</v>
      </c>
      <c r="K17" s="7" t="n">
        <v>45777</v>
      </c>
      <c r="L17" s="7" t="n">
        <v>46142</v>
      </c>
      <c r="M17" s="8" t="n">
        <f aca="false">DATEDIF(K17,L17,"m")</f>
        <v>12</v>
      </c>
      <c r="N17" s="8" t="n">
        <f aca="false">DATEDIF(E17,L17,"m")</f>
        <v>42</v>
      </c>
      <c r="O17" s="12" t="n">
        <v>1663</v>
      </c>
      <c r="P17" s="12" t="n">
        <f aca="false">O17/12</f>
        <v>138.583333333333</v>
      </c>
      <c r="Q17" s="4" t="n">
        <v>1</v>
      </c>
      <c r="R17" s="10" t="n">
        <f aca="false">IF(N17&lt;=12,N17*P17,O17)</f>
        <v>1663</v>
      </c>
      <c r="S17" s="4" t="s">
        <v>27</v>
      </c>
    </row>
    <row r="18" customFormat="false" ht="15" hidden="false" customHeight="false" outlineLevel="0" collapsed="false">
      <c r="A18" s="4" t="s">
        <v>28</v>
      </c>
      <c r="B18" s="4" t="s">
        <v>88</v>
      </c>
      <c r="C18" s="4" t="s">
        <v>89</v>
      </c>
      <c r="D18" s="11" t="s">
        <v>90</v>
      </c>
      <c r="E18" s="5" t="n">
        <f aca="false">DATEVALUE(LEFT(D18,10))</f>
        <v>44855</v>
      </c>
      <c r="F18" s="4" t="s">
        <v>91</v>
      </c>
      <c r="G18" s="4" t="s">
        <v>92</v>
      </c>
      <c r="H18" s="4" t="s">
        <v>24</v>
      </c>
      <c r="I18" s="4" t="s">
        <v>93</v>
      </c>
      <c r="J18" s="4" t="s">
        <v>38</v>
      </c>
      <c r="K18" s="7" t="n">
        <v>45944</v>
      </c>
      <c r="L18" s="7" t="n">
        <v>46309</v>
      </c>
      <c r="M18" s="8" t="n">
        <f aca="false">DATEDIF(K18,L18,"m")</f>
        <v>12</v>
      </c>
      <c r="N18" s="8" t="n">
        <f aca="false">DATEDIF(E18,L18,"m")</f>
        <v>47</v>
      </c>
      <c r="O18" s="12" t="n">
        <v>640.44</v>
      </c>
      <c r="P18" s="12" t="n">
        <f aca="false">O18/M18</f>
        <v>53.37</v>
      </c>
      <c r="Q18" s="4" t="n">
        <v>1</v>
      </c>
      <c r="R18" s="10" t="n">
        <f aca="false">IF(N18&lt;=12,N18*P18,O18)</f>
        <v>640.44</v>
      </c>
      <c r="S18" s="4" t="s">
        <v>27</v>
      </c>
    </row>
    <row r="19" customFormat="false" ht="15" hidden="false" customHeight="false" outlineLevel="0" collapsed="false">
      <c r="A19" s="4" t="s">
        <v>28</v>
      </c>
      <c r="B19" s="4" t="s">
        <v>94</v>
      </c>
      <c r="C19" s="4" t="s">
        <v>95</v>
      </c>
      <c r="D19" s="11" t="s">
        <v>96</v>
      </c>
      <c r="E19" s="5" t="n">
        <f aca="false">DATEVALUE(LEFT(D19,10))</f>
        <v>44855</v>
      </c>
      <c r="F19" s="4" t="s">
        <v>97</v>
      </c>
      <c r="G19" s="4" t="s">
        <v>53</v>
      </c>
      <c r="H19" s="4" t="s">
        <v>24</v>
      </c>
      <c r="I19" s="4" t="s">
        <v>25</v>
      </c>
      <c r="J19" s="4" t="s">
        <v>26</v>
      </c>
      <c r="K19" s="7" t="n">
        <v>45777</v>
      </c>
      <c r="L19" s="7" t="n">
        <v>46142</v>
      </c>
      <c r="M19" s="8" t="n">
        <f aca="false">DATEDIF(K19,L19,"m")</f>
        <v>12</v>
      </c>
      <c r="N19" s="8" t="n">
        <f aca="false">DATEDIF(E19,L19,"m")</f>
        <v>42</v>
      </c>
      <c r="O19" s="12" t="n">
        <v>1663</v>
      </c>
      <c r="P19" s="12" t="n">
        <f aca="false">O19/12</f>
        <v>138.583333333333</v>
      </c>
      <c r="Q19" s="4" t="n">
        <v>1</v>
      </c>
      <c r="R19" s="10" t="n">
        <f aca="false">IF(N19&lt;=12,N19*P19,O19)</f>
        <v>1663</v>
      </c>
      <c r="S19" s="4" t="s">
        <v>27</v>
      </c>
    </row>
    <row r="20" customFormat="false" ht="15" hidden="false" customHeight="false" outlineLevel="0" collapsed="false">
      <c r="A20" s="4" t="s">
        <v>98</v>
      </c>
      <c r="B20" s="4" t="s">
        <v>99</v>
      </c>
      <c r="C20" s="4" t="s">
        <v>100</v>
      </c>
      <c r="D20" s="4" t="s">
        <v>101</v>
      </c>
      <c r="E20" s="5" t="n">
        <f aca="false">DATEVALUE(LEFT(D20,10))</f>
        <v>45223</v>
      </c>
      <c r="F20" s="4" t="s">
        <v>102</v>
      </c>
      <c r="G20" s="4" t="s">
        <v>103</v>
      </c>
      <c r="H20" s="4" t="s">
        <v>104</v>
      </c>
      <c r="I20" s="4" t="s">
        <v>25</v>
      </c>
      <c r="J20" s="4" t="s">
        <v>38</v>
      </c>
      <c r="K20" s="7" t="n">
        <v>45839</v>
      </c>
      <c r="L20" s="7" t="n">
        <v>46204</v>
      </c>
      <c r="M20" s="8" t="n">
        <f aca="false">DATEDIF(K20,L20,"m")</f>
        <v>12</v>
      </c>
      <c r="N20" s="8" t="n">
        <f aca="false">DATEDIF(E20,L20,"m")</f>
        <v>32</v>
      </c>
      <c r="O20" s="9" t="n">
        <v>1498.8</v>
      </c>
      <c r="P20" s="9" t="n">
        <f aca="false">O20/M20</f>
        <v>124.9</v>
      </c>
      <c r="Q20" s="4" t="n">
        <v>1</v>
      </c>
      <c r="R20" s="10" t="n">
        <f aca="false">IF(N20&lt;=12,N20*P20,O20)</f>
        <v>1498.8</v>
      </c>
      <c r="S20" s="4" t="s">
        <v>27</v>
      </c>
    </row>
    <row r="21" customFormat="false" ht="15" hidden="false" customHeight="false" outlineLevel="0" collapsed="false">
      <c r="A21" s="4" t="s">
        <v>28</v>
      </c>
      <c r="B21" s="4" t="s">
        <v>105</v>
      </c>
      <c r="C21" s="4" t="s">
        <v>106</v>
      </c>
      <c r="D21" s="11" t="s">
        <v>107</v>
      </c>
      <c r="E21" s="5" t="n">
        <f aca="false">DATEVALUE(LEFT(D21,10))</f>
        <v>45600</v>
      </c>
      <c r="F21" s="4" t="s">
        <v>108</v>
      </c>
      <c r="G21" s="4" t="s">
        <v>109</v>
      </c>
      <c r="H21" s="4" t="s">
        <v>24</v>
      </c>
      <c r="I21" s="4" t="s">
        <v>25</v>
      </c>
      <c r="J21" s="4" t="s">
        <v>26</v>
      </c>
      <c r="K21" s="7" t="n">
        <v>45777</v>
      </c>
      <c r="L21" s="7" t="n">
        <v>46142</v>
      </c>
      <c r="M21" s="8" t="n">
        <f aca="false">DATEDIF(K21,L21,"m")</f>
        <v>12</v>
      </c>
      <c r="N21" s="8" t="n">
        <f aca="false">DATEDIF(E21,L21,"m")</f>
        <v>17</v>
      </c>
      <c r="O21" s="12" t="n">
        <v>1663</v>
      </c>
      <c r="P21" s="12" t="n">
        <f aca="false">O21/12</f>
        <v>138.583333333333</v>
      </c>
      <c r="Q21" s="4" t="n">
        <v>1</v>
      </c>
      <c r="R21" s="10" t="n">
        <f aca="false">IF(N21&lt;=12,N21*P21,O21)</f>
        <v>1663</v>
      </c>
      <c r="S21" s="4" t="s">
        <v>27</v>
      </c>
    </row>
    <row r="22" customFormat="false" ht="15" hidden="false" customHeight="false" outlineLevel="0" collapsed="false">
      <c r="A22" s="4" t="s">
        <v>28</v>
      </c>
      <c r="B22" s="4" t="s">
        <v>110</v>
      </c>
      <c r="C22" s="4" t="s">
        <v>111</v>
      </c>
      <c r="D22" s="11" t="s">
        <v>112</v>
      </c>
      <c r="E22" s="5" t="n">
        <f aca="false">DATEVALUE(LEFT(D22,10))</f>
        <v>45874</v>
      </c>
      <c r="F22" s="4" t="s">
        <v>91</v>
      </c>
      <c r="G22" s="4" t="s">
        <v>92</v>
      </c>
      <c r="H22" s="4" t="s">
        <v>24</v>
      </c>
      <c r="I22" s="4" t="s">
        <v>25</v>
      </c>
      <c r="J22" s="4" t="s">
        <v>26</v>
      </c>
      <c r="K22" s="7" t="n">
        <v>45777</v>
      </c>
      <c r="L22" s="7" t="n">
        <v>46142</v>
      </c>
      <c r="M22" s="8" t="n">
        <f aca="false">DATEDIF(K22,L22,"m")</f>
        <v>12</v>
      </c>
      <c r="N22" s="8" t="n">
        <f aca="false">DATEDIF(E22,L22,"m")</f>
        <v>8</v>
      </c>
      <c r="O22" s="12" t="n">
        <v>1663</v>
      </c>
      <c r="P22" s="12" t="n">
        <f aca="false">O22/12</f>
        <v>138.583333333333</v>
      </c>
      <c r="Q22" s="4" t="n">
        <v>1</v>
      </c>
      <c r="R22" s="10" t="n">
        <f aca="false">IF(N22&lt;=12,N22*P22,O22)</f>
        <v>1108.66666666667</v>
      </c>
      <c r="S22" s="4" t="s">
        <v>27</v>
      </c>
    </row>
    <row r="23" customFormat="false" ht="15" hidden="false" customHeight="false" outlineLevel="0" collapsed="false">
      <c r="A23" s="4" t="s">
        <v>28</v>
      </c>
      <c r="B23" s="4" t="s">
        <v>113</v>
      </c>
      <c r="C23" s="4" t="s">
        <v>114</v>
      </c>
      <c r="D23" s="11" t="s">
        <v>115</v>
      </c>
      <c r="E23" s="5" t="n">
        <f aca="false">DATEVALUE(LEFT(D23,10))</f>
        <v>44970</v>
      </c>
      <c r="F23" s="4" t="s">
        <v>47</v>
      </c>
      <c r="G23" s="4" t="s">
        <v>103</v>
      </c>
      <c r="H23" s="4" t="s">
        <v>24</v>
      </c>
      <c r="I23" s="4" t="s">
        <v>37</v>
      </c>
      <c r="J23" s="4" t="s">
        <v>38</v>
      </c>
      <c r="K23" s="7" t="n">
        <v>45944</v>
      </c>
      <c r="L23" s="7" t="n">
        <v>46309</v>
      </c>
      <c r="M23" s="8" t="n">
        <f aca="false">DATEDIF(K23,L23,"m")</f>
        <v>12</v>
      </c>
      <c r="N23" s="8" t="n">
        <f aca="false">DATEDIF(E23,L23,"m")</f>
        <v>44</v>
      </c>
      <c r="O23" s="12" t="n">
        <v>298.8</v>
      </c>
      <c r="P23" s="9" t="n">
        <f aca="false">O23/M23</f>
        <v>24.9</v>
      </c>
      <c r="Q23" s="4" t="n">
        <v>1</v>
      </c>
      <c r="R23" s="10" t="n">
        <f aca="false">IF(N23&lt;=12,N23*P23,O23)</f>
        <v>298.8</v>
      </c>
      <c r="S23" s="4" t="s">
        <v>27</v>
      </c>
    </row>
    <row r="24" customFormat="false" ht="15" hidden="false" customHeight="false" outlineLevel="0" collapsed="false">
      <c r="A24" s="4" t="s">
        <v>28</v>
      </c>
      <c r="B24" s="4" t="s">
        <v>116</v>
      </c>
      <c r="C24" s="4" t="s">
        <v>117</v>
      </c>
      <c r="D24" s="11" t="s">
        <v>118</v>
      </c>
      <c r="E24" s="5" t="n">
        <f aca="false">DATEVALUE(LEFT(D24,10))</f>
        <v>45625</v>
      </c>
      <c r="F24" s="4" t="s">
        <v>36</v>
      </c>
      <c r="G24" s="15" t="s">
        <v>33</v>
      </c>
      <c r="H24" s="4" t="s">
        <v>24</v>
      </c>
      <c r="I24" s="4" t="s">
        <v>37</v>
      </c>
      <c r="J24" s="4" t="s">
        <v>38</v>
      </c>
      <c r="K24" s="7" t="n">
        <v>45944</v>
      </c>
      <c r="L24" s="7" t="n">
        <v>46309</v>
      </c>
      <c r="M24" s="8" t="n">
        <f aca="false">DATEDIF(K24,L24,"m")</f>
        <v>12</v>
      </c>
      <c r="N24" s="8" t="n">
        <f aca="false">DATEDIF(E24,L24,"m")</f>
        <v>22</v>
      </c>
      <c r="O24" s="12" t="n">
        <v>298.8</v>
      </c>
      <c r="P24" s="9" t="n">
        <f aca="false">O24/M24</f>
        <v>24.9</v>
      </c>
      <c r="Q24" s="4" t="n">
        <v>1</v>
      </c>
      <c r="R24" s="10" t="n">
        <f aca="false">IF(N24&lt;=12,N24*P24,O24)</f>
        <v>298.8</v>
      </c>
      <c r="S24" s="4" t="s">
        <v>27</v>
      </c>
    </row>
    <row r="25" customFormat="false" ht="15" hidden="false" customHeight="false" outlineLevel="0" collapsed="false">
      <c r="A25" s="4" t="s">
        <v>28</v>
      </c>
      <c r="B25" s="4" t="s">
        <v>119</v>
      </c>
      <c r="C25" s="4" t="s">
        <v>120</v>
      </c>
      <c r="D25" s="11" t="s">
        <v>121</v>
      </c>
      <c r="E25" s="5" t="n">
        <f aca="false">DATEVALUE(LEFT(D25,10))</f>
        <v>44855</v>
      </c>
      <c r="F25" s="4" t="s">
        <v>122</v>
      </c>
      <c r="G25" s="4" t="s">
        <v>123</v>
      </c>
      <c r="H25" s="4" t="s">
        <v>24</v>
      </c>
      <c r="I25" s="4" t="s">
        <v>25</v>
      </c>
      <c r="J25" s="4" t="s">
        <v>26</v>
      </c>
      <c r="K25" s="7" t="n">
        <v>45777</v>
      </c>
      <c r="L25" s="7" t="n">
        <v>46142</v>
      </c>
      <c r="M25" s="8" t="n">
        <f aca="false">DATEDIF(K25,L25,"m")</f>
        <v>12</v>
      </c>
      <c r="N25" s="8" t="n">
        <f aca="false">DATEDIF(E25,L25,"m")</f>
        <v>42</v>
      </c>
      <c r="O25" s="12" t="n">
        <v>1663</v>
      </c>
      <c r="P25" s="12" t="n">
        <f aca="false">O25/12</f>
        <v>138.583333333333</v>
      </c>
      <c r="Q25" s="4" t="n">
        <v>1</v>
      </c>
      <c r="R25" s="10" t="n">
        <f aca="false">IF(N25&lt;=12,N25*P25,O25)</f>
        <v>1663</v>
      </c>
      <c r="S25" s="4" t="s">
        <v>27</v>
      </c>
    </row>
    <row r="26" customFormat="false" ht="15" hidden="false" customHeight="false" outlineLevel="0" collapsed="false">
      <c r="A26" s="4" t="s">
        <v>28</v>
      </c>
      <c r="B26" s="4" t="s">
        <v>124</v>
      </c>
      <c r="C26" s="4" t="s">
        <v>125</v>
      </c>
      <c r="D26" s="11" t="s">
        <v>126</v>
      </c>
      <c r="E26" s="5" t="n">
        <f aca="false">DATEVALUE(LEFT(D26,10))</f>
        <v>45505</v>
      </c>
      <c r="F26" s="4" t="s">
        <v>127</v>
      </c>
      <c r="G26" s="4" t="s">
        <v>128</v>
      </c>
      <c r="H26" s="4" t="s">
        <v>24</v>
      </c>
      <c r="I26" s="4" t="s">
        <v>25</v>
      </c>
      <c r="J26" s="4" t="s">
        <v>26</v>
      </c>
      <c r="K26" s="7" t="n">
        <v>45777</v>
      </c>
      <c r="L26" s="7" t="n">
        <v>46142</v>
      </c>
      <c r="M26" s="8" t="n">
        <f aca="false">DATEDIF(K26,L26,"m")</f>
        <v>12</v>
      </c>
      <c r="N26" s="8" t="n">
        <f aca="false">DATEDIF(E26,L26,"m")</f>
        <v>20</v>
      </c>
      <c r="O26" s="12" t="n">
        <v>1663</v>
      </c>
      <c r="P26" s="12" t="n">
        <f aca="false">O26/12</f>
        <v>138.583333333333</v>
      </c>
      <c r="Q26" s="4" t="n">
        <v>1</v>
      </c>
      <c r="R26" s="10" t="n">
        <f aca="false">IF(N26&lt;=12,N26*P26,O26)</f>
        <v>1663</v>
      </c>
      <c r="S26" s="4" t="s">
        <v>27</v>
      </c>
    </row>
    <row r="27" customFormat="false" ht="15" hidden="false" customHeight="false" outlineLevel="0" collapsed="false">
      <c r="A27" s="4" t="s">
        <v>28</v>
      </c>
      <c r="B27" s="4" t="s">
        <v>129</v>
      </c>
      <c r="C27" s="4" t="s">
        <v>130</v>
      </c>
      <c r="D27" s="11" t="s">
        <v>131</v>
      </c>
      <c r="E27" s="5" t="n">
        <f aca="false">DATEVALUE(LEFT(D27,10))</f>
        <v>45680</v>
      </c>
      <c r="F27" s="4" t="s">
        <v>73</v>
      </c>
      <c r="G27" s="4" t="s">
        <v>74</v>
      </c>
      <c r="H27" s="4" t="s">
        <v>24</v>
      </c>
      <c r="I27" s="4" t="s">
        <v>132</v>
      </c>
      <c r="J27" s="4" t="s">
        <v>26</v>
      </c>
      <c r="K27" s="17" t="n">
        <v>45848</v>
      </c>
      <c r="L27" s="7" t="n">
        <v>46213</v>
      </c>
      <c r="M27" s="8" t="n">
        <f aca="false">DATEDIF(K27,L27,"m")</f>
        <v>12</v>
      </c>
      <c r="N27" s="8" t="n">
        <f aca="false">DATEDIF(E27,L27,"m")</f>
        <v>17</v>
      </c>
      <c r="O27" s="12" t="n">
        <v>3865.9</v>
      </c>
      <c r="P27" s="12" t="n">
        <f aca="false">O27/12</f>
        <v>322.158333333333</v>
      </c>
      <c r="Q27" s="4" t="n">
        <v>1</v>
      </c>
      <c r="R27" s="10" t="n">
        <f aca="false">IF(N27&lt;=12,N27*P27,O27)</f>
        <v>3865.9</v>
      </c>
      <c r="S27" s="4" t="s">
        <v>27</v>
      </c>
    </row>
    <row r="28" customFormat="false" ht="15" hidden="false" customHeight="false" outlineLevel="0" collapsed="false">
      <c r="A28" s="4" t="s">
        <v>28</v>
      </c>
      <c r="B28" s="4" t="s">
        <v>129</v>
      </c>
      <c r="C28" s="4" t="s">
        <v>130</v>
      </c>
      <c r="D28" s="11" t="s">
        <v>131</v>
      </c>
      <c r="E28" s="5" t="n">
        <f aca="false">DATEVALUE(LEFT(D28,10))</f>
        <v>45680</v>
      </c>
      <c r="F28" s="4" t="s">
        <v>73</v>
      </c>
      <c r="G28" s="4" t="s">
        <v>74</v>
      </c>
      <c r="H28" s="4" t="s">
        <v>24</v>
      </c>
      <c r="I28" s="4" t="s">
        <v>25</v>
      </c>
      <c r="J28" s="4" t="s">
        <v>26</v>
      </c>
      <c r="K28" s="7" t="n">
        <v>45777</v>
      </c>
      <c r="L28" s="7" t="n">
        <v>46142</v>
      </c>
      <c r="M28" s="8" t="n">
        <f aca="false">DATEDIF(K28,L28,"m")</f>
        <v>12</v>
      </c>
      <c r="N28" s="8" t="n">
        <f aca="false">DATEDIF(E28,L28,"m")</f>
        <v>15</v>
      </c>
      <c r="O28" s="12" t="n">
        <v>1663</v>
      </c>
      <c r="P28" s="12" t="n">
        <f aca="false">O28/12</f>
        <v>138.583333333333</v>
      </c>
      <c r="Q28" s="4" t="n">
        <v>1</v>
      </c>
      <c r="R28" s="10" t="n">
        <f aca="false">IF(N28&lt;=12,N28*P28,O28)</f>
        <v>1663</v>
      </c>
      <c r="S28" s="4" t="s">
        <v>27</v>
      </c>
    </row>
    <row r="29" customFormat="false" ht="15" hidden="false" customHeight="false" outlineLevel="0" collapsed="false">
      <c r="A29" s="4" t="s">
        <v>28</v>
      </c>
      <c r="B29" s="4" t="s">
        <v>133</v>
      </c>
      <c r="C29" s="4" t="s">
        <v>134</v>
      </c>
      <c r="D29" s="11" t="s">
        <v>135</v>
      </c>
      <c r="E29" s="5" t="n">
        <f aca="false">DATEVALUE(LEFT(D29,10))</f>
        <v>44855</v>
      </c>
      <c r="F29" s="4" t="s">
        <v>136</v>
      </c>
      <c r="G29" s="15" t="s">
        <v>137</v>
      </c>
      <c r="H29" s="4" t="s">
        <v>24</v>
      </c>
      <c r="I29" s="4" t="s">
        <v>25</v>
      </c>
      <c r="J29" s="4" t="s">
        <v>26</v>
      </c>
      <c r="K29" s="7" t="n">
        <v>45777</v>
      </c>
      <c r="L29" s="7" t="n">
        <v>46142</v>
      </c>
      <c r="M29" s="8" t="n">
        <f aca="false">DATEDIF(K29,L29,"m")</f>
        <v>12</v>
      </c>
      <c r="N29" s="8" t="n">
        <f aca="false">DATEDIF(E29,L29,"m")</f>
        <v>42</v>
      </c>
      <c r="O29" s="12" t="n">
        <v>1663</v>
      </c>
      <c r="P29" s="12" t="n">
        <f aca="false">O29/12</f>
        <v>138.583333333333</v>
      </c>
      <c r="Q29" s="4" t="n">
        <v>1</v>
      </c>
      <c r="R29" s="10" t="n">
        <f aca="false">IF(N29&lt;=12,N29*P29,O29)</f>
        <v>1663</v>
      </c>
      <c r="S29" s="4" t="s">
        <v>27</v>
      </c>
    </row>
    <row r="30" customFormat="false" ht="15" hidden="false" customHeight="false" outlineLevel="0" collapsed="false">
      <c r="A30" s="4" t="s">
        <v>28</v>
      </c>
      <c r="B30" s="4" t="s">
        <v>138</v>
      </c>
      <c r="C30" s="4" t="s">
        <v>139</v>
      </c>
      <c r="D30" s="11" t="s">
        <v>140</v>
      </c>
      <c r="E30" s="5" t="n">
        <f aca="false">DATEVALUE(LEFT(D30,10))</f>
        <v>45429</v>
      </c>
      <c r="F30" s="4" t="s">
        <v>141</v>
      </c>
      <c r="G30" s="13" t="s">
        <v>142</v>
      </c>
      <c r="H30" s="4" t="s">
        <v>24</v>
      </c>
      <c r="I30" s="4" t="s">
        <v>37</v>
      </c>
      <c r="J30" s="4" t="s">
        <v>38</v>
      </c>
      <c r="K30" s="7" t="n">
        <v>45944</v>
      </c>
      <c r="L30" s="7" t="n">
        <v>46309</v>
      </c>
      <c r="M30" s="8" t="n">
        <f aca="false">DATEDIF(K30,L30,"m")</f>
        <v>12</v>
      </c>
      <c r="N30" s="8" t="n">
        <f aca="false">DATEDIF(E30,L30,"m")</f>
        <v>28</v>
      </c>
      <c r="O30" s="12" t="n">
        <v>298.8</v>
      </c>
      <c r="P30" s="9" t="n">
        <f aca="false">O30/M30</f>
        <v>24.9</v>
      </c>
      <c r="Q30" s="4" t="n">
        <v>1</v>
      </c>
      <c r="R30" s="10" t="n">
        <f aca="false">IF(N30&lt;=12,N30*P30,O30)</f>
        <v>298.8</v>
      </c>
      <c r="S30" s="4" t="s">
        <v>27</v>
      </c>
    </row>
    <row r="31" customFormat="false" ht="15" hidden="false" customHeight="false" outlineLevel="0" collapsed="false">
      <c r="A31" s="4" t="s">
        <v>28</v>
      </c>
      <c r="B31" s="4" t="s">
        <v>143</v>
      </c>
      <c r="C31" s="4" t="s">
        <v>144</v>
      </c>
      <c r="D31" s="11" t="s">
        <v>145</v>
      </c>
      <c r="E31" s="5" t="n">
        <f aca="false">DATEVALUE(LEFT(D31,10))</f>
        <v>44855</v>
      </c>
      <c r="F31" s="13" t="s">
        <v>36</v>
      </c>
      <c r="G31" s="15" t="s">
        <v>33</v>
      </c>
      <c r="H31" s="4" t="s">
        <v>24</v>
      </c>
      <c r="I31" s="4" t="s">
        <v>37</v>
      </c>
      <c r="J31" s="4" t="s">
        <v>38</v>
      </c>
      <c r="K31" s="7" t="n">
        <v>45944</v>
      </c>
      <c r="L31" s="7" t="n">
        <v>46309</v>
      </c>
      <c r="M31" s="8" t="n">
        <f aca="false">DATEDIF(K31,L31,"m")</f>
        <v>12</v>
      </c>
      <c r="N31" s="8" t="n">
        <f aca="false">DATEDIF(E31,L31,"m")</f>
        <v>47</v>
      </c>
      <c r="O31" s="12" t="n">
        <v>298.8</v>
      </c>
      <c r="P31" s="9" t="n">
        <f aca="false">O31/M31</f>
        <v>24.9</v>
      </c>
      <c r="Q31" s="4" t="n">
        <v>1</v>
      </c>
      <c r="R31" s="10" t="n">
        <f aca="false">IF(N31&lt;=12,N31*P31,O31)</f>
        <v>298.8</v>
      </c>
      <c r="S31" s="4" t="s">
        <v>27</v>
      </c>
    </row>
    <row r="32" customFormat="false" ht="15" hidden="false" customHeight="false" outlineLevel="0" collapsed="false">
      <c r="A32" s="4" t="s">
        <v>146</v>
      </c>
      <c r="B32" s="4" t="s">
        <v>141</v>
      </c>
      <c r="C32" s="4" t="s">
        <v>147</v>
      </c>
      <c r="D32" s="4" t="s">
        <v>148</v>
      </c>
      <c r="E32" s="5" t="n">
        <f aca="false">DATEVALUE(LEFT(D32,10))</f>
        <v>45821</v>
      </c>
      <c r="F32" s="4" t="s">
        <v>149</v>
      </c>
      <c r="G32" s="4" t="s">
        <v>149</v>
      </c>
      <c r="H32" s="4" t="s">
        <v>24</v>
      </c>
      <c r="I32" s="4" t="s">
        <v>37</v>
      </c>
      <c r="J32" s="4" t="s">
        <v>38</v>
      </c>
      <c r="K32" s="7" t="n">
        <v>45814</v>
      </c>
      <c r="L32" s="7" t="n">
        <v>46179</v>
      </c>
      <c r="M32" s="8" t="n">
        <f aca="false">DATEDIF(K32,L32,"m")</f>
        <v>12</v>
      </c>
      <c r="N32" s="8" t="n">
        <f aca="false">DATEDIF(E32,L32,"m")</f>
        <v>11</v>
      </c>
      <c r="O32" s="9" t="n">
        <v>354.6</v>
      </c>
      <c r="P32" s="9" t="n">
        <f aca="false">O32/M32</f>
        <v>29.55</v>
      </c>
      <c r="Q32" s="4" t="n">
        <v>1</v>
      </c>
      <c r="R32" s="10" t="n">
        <f aca="false">IF(N32&lt;=12,N32*P32,O32)</f>
        <v>325.05</v>
      </c>
      <c r="S32" s="4" t="s">
        <v>27</v>
      </c>
    </row>
    <row r="33" customFormat="false" ht="15" hidden="false" customHeight="false" outlineLevel="0" collapsed="false">
      <c r="A33" s="4" t="s">
        <v>28</v>
      </c>
      <c r="B33" s="4" t="s">
        <v>150</v>
      </c>
      <c r="C33" s="4" t="s">
        <v>151</v>
      </c>
      <c r="D33" s="11" t="s">
        <v>152</v>
      </c>
      <c r="E33" s="5" t="n">
        <f aca="false">DATEVALUE(LEFT(D33,10))</f>
        <v>45383</v>
      </c>
      <c r="F33" s="4"/>
      <c r="G33" s="4"/>
      <c r="H33" s="4" t="s">
        <v>24</v>
      </c>
      <c r="I33" s="4" t="s">
        <v>153</v>
      </c>
      <c r="J33" s="4" t="s">
        <v>26</v>
      </c>
      <c r="K33" s="7" t="n">
        <v>45839</v>
      </c>
      <c r="L33" s="7" t="n">
        <v>46204</v>
      </c>
      <c r="M33" s="8" t="n">
        <f aca="false">DATEDIF(K33,L33,"m")</f>
        <v>12</v>
      </c>
      <c r="N33" s="8" t="n">
        <f aca="false">DATEDIF(E33,L33,"m")</f>
        <v>27</v>
      </c>
      <c r="O33" s="12" t="n">
        <v>635</v>
      </c>
      <c r="P33" s="12" t="n">
        <f aca="false">O33/12</f>
        <v>52.9166666666667</v>
      </c>
      <c r="Q33" s="4" t="n">
        <v>1</v>
      </c>
      <c r="R33" s="10" t="n">
        <f aca="false">IF(N33&lt;=12,N33*P33,O33)</f>
        <v>635</v>
      </c>
      <c r="S33" s="4" t="s">
        <v>27</v>
      </c>
    </row>
    <row r="34" customFormat="false" ht="15" hidden="false" customHeight="false" outlineLevel="0" collapsed="false">
      <c r="A34" s="4" t="s">
        <v>28</v>
      </c>
      <c r="B34" s="4" t="s">
        <v>150</v>
      </c>
      <c r="C34" s="4" t="s">
        <v>154</v>
      </c>
      <c r="D34" s="11" t="s">
        <v>155</v>
      </c>
      <c r="E34" s="5" t="n">
        <f aca="false">DATEVALUE(LEFT(D34,10))</f>
        <v>45415</v>
      </c>
      <c r="F34" s="4"/>
      <c r="G34" s="4"/>
      <c r="H34" s="4" t="s">
        <v>24</v>
      </c>
      <c r="I34" s="4" t="s">
        <v>153</v>
      </c>
      <c r="J34" s="4" t="s">
        <v>26</v>
      </c>
      <c r="K34" s="7" t="n">
        <v>45839</v>
      </c>
      <c r="L34" s="7" t="n">
        <v>46204</v>
      </c>
      <c r="M34" s="8" t="n">
        <f aca="false">DATEDIF(K34,L34,"m")</f>
        <v>12</v>
      </c>
      <c r="N34" s="8" t="n">
        <f aca="false">DATEDIF(E34,L34,"m")</f>
        <v>25</v>
      </c>
      <c r="O34" s="12" t="n">
        <v>635</v>
      </c>
      <c r="P34" s="12" t="n">
        <f aca="false">O34/12</f>
        <v>52.9166666666667</v>
      </c>
      <c r="Q34" s="4" t="n">
        <v>1</v>
      </c>
      <c r="R34" s="10" t="n">
        <f aca="false">IF(N34&lt;=12,N34*P34,O34)</f>
        <v>635</v>
      </c>
      <c r="S34" s="4" t="s">
        <v>27</v>
      </c>
    </row>
    <row r="35" customFormat="false" ht="15" hidden="false" customHeight="false" outlineLevel="0" collapsed="false">
      <c r="A35" s="4" t="s">
        <v>28</v>
      </c>
      <c r="B35" s="4" t="s">
        <v>150</v>
      </c>
      <c r="C35" s="4" t="s">
        <v>156</v>
      </c>
      <c r="D35" s="11" t="s">
        <v>157</v>
      </c>
      <c r="E35" s="5" t="n">
        <f aca="false">DATEVALUE(LEFT(D35,10))</f>
        <v>45383</v>
      </c>
      <c r="F35" s="4"/>
      <c r="G35" s="4"/>
      <c r="H35" s="4" t="s">
        <v>24</v>
      </c>
      <c r="I35" s="4" t="s">
        <v>153</v>
      </c>
      <c r="J35" s="4" t="s">
        <v>26</v>
      </c>
      <c r="K35" s="7" t="n">
        <v>45839</v>
      </c>
      <c r="L35" s="7" t="n">
        <v>46204</v>
      </c>
      <c r="M35" s="8" t="n">
        <f aca="false">DATEDIF(K35,L35,"m")</f>
        <v>12</v>
      </c>
      <c r="N35" s="8" t="n">
        <f aca="false">DATEDIF(E35,L35,"m")</f>
        <v>27</v>
      </c>
      <c r="O35" s="12" t="n">
        <v>635</v>
      </c>
      <c r="P35" s="12" t="n">
        <f aca="false">O35/12</f>
        <v>52.9166666666667</v>
      </c>
      <c r="Q35" s="4" t="n">
        <v>1</v>
      </c>
      <c r="R35" s="10" t="n">
        <f aca="false">IF(N35&lt;=12,N35*P35,O35)</f>
        <v>635</v>
      </c>
      <c r="S35" s="4" t="s">
        <v>27</v>
      </c>
    </row>
    <row r="36" customFormat="false" ht="15" hidden="false" customHeight="false" outlineLevel="0" collapsed="false">
      <c r="A36" s="4" t="s">
        <v>28</v>
      </c>
      <c r="B36" s="4" t="s">
        <v>150</v>
      </c>
      <c r="C36" s="4" t="s">
        <v>158</v>
      </c>
      <c r="D36" s="11" t="s">
        <v>159</v>
      </c>
      <c r="E36" s="5" t="n">
        <f aca="false">DATEVALUE(LEFT(D36,10))</f>
        <v>45383</v>
      </c>
      <c r="F36" s="4"/>
      <c r="G36" s="4"/>
      <c r="H36" s="4" t="s">
        <v>24</v>
      </c>
      <c r="I36" s="4" t="s">
        <v>153</v>
      </c>
      <c r="J36" s="4" t="s">
        <v>26</v>
      </c>
      <c r="K36" s="7" t="n">
        <v>45839</v>
      </c>
      <c r="L36" s="7" t="n">
        <v>46204</v>
      </c>
      <c r="M36" s="8" t="n">
        <f aca="false">DATEDIF(K36,L36,"m")</f>
        <v>12</v>
      </c>
      <c r="N36" s="8" t="n">
        <f aca="false">DATEDIF(E36,L36,"m")</f>
        <v>27</v>
      </c>
      <c r="O36" s="12" t="n">
        <v>635</v>
      </c>
      <c r="P36" s="12" t="n">
        <f aca="false">O36/12</f>
        <v>52.9166666666667</v>
      </c>
      <c r="Q36" s="4" t="n">
        <v>1</v>
      </c>
      <c r="R36" s="10" t="n">
        <f aca="false">IF(N36&lt;=12,N36*P36,O36)</f>
        <v>635</v>
      </c>
      <c r="S36" s="4" t="s">
        <v>27</v>
      </c>
    </row>
    <row r="37" customFormat="false" ht="15" hidden="false" customHeight="false" outlineLevel="0" collapsed="false">
      <c r="A37" s="4" t="s">
        <v>28</v>
      </c>
      <c r="B37" s="4" t="s">
        <v>150</v>
      </c>
      <c r="C37" s="4" t="s">
        <v>160</v>
      </c>
      <c r="D37" s="11" t="s">
        <v>161</v>
      </c>
      <c r="E37" s="5" t="n">
        <f aca="false">DATEVALUE(LEFT(D37,10))</f>
        <v>45112</v>
      </c>
      <c r="F37" s="4"/>
      <c r="G37" s="4"/>
      <c r="H37" s="4" t="s">
        <v>24</v>
      </c>
      <c r="I37" s="4" t="s">
        <v>153</v>
      </c>
      <c r="J37" s="4" t="s">
        <v>26</v>
      </c>
      <c r="K37" s="7" t="n">
        <v>45839</v>
      </c>
      <c r="L37" s="7" t="n">
        <v>46204</v>
      </c>
      <c r="M37" s="8" t="n">
        <f aca="false">DATEDIF(K37,L37,"m")</f>
        <v>12</v>
      </c>
      <c r="N37" s="8" t="n">
        <f aca="false">DATEDIF(E37,L37,"m")</f>
        <v>35</v>
      </c>
      <c r="O37" s="12" t="n">
        <v>635</v>
      </c>
      <c r="P37" s="12" t="n">
        <f aca="false">O37/12</f>
        <v>52.9166666666667</v>
      </c>
      <c r="Q37" s="4" t="n">
        <v>1</v>
      </c>
      <c r="R37" s="10" t="n">
        <f aca="false">IF(N37&lt;=12,N37*P37,O37)</f>
        <v>635</v>
      </c>
      <c r="S37" s="4" t="s">
        <v>27</v>
      </c>
    </row>
    <row r="38" customFormat="false" ht="15" hidden="false" customHeight="false" outlineLevel="0" collapsed="false">
      <c r="A38" s="4" t="s">
        <v>28</v>
      </c>
      <c r="B38" s="4" t="s">
        <v>150</v>
      </c>
      <c r="C38" s="4" t="s">
        <v>162</v>
      </c>
      <c r="D38" s="11" t="s">
        <v>163</v>
      </c>
      <c r="E38" s="5" t="n">
        <f aca="false">DATEVALUE(LEFT(D38,10))</f>
        <v>45383</v>
      </c>
      <c r="F38" s="4"/>
      <c r="G38" s="4"/>
      <c r="H38" s="4" t="s">
        <v>24</v>
      </c>
      <c r="I38" s="4" t="s">
        <v>153</v>
      </c>
      <c r="J38" s="4" t="s">
        <v>26</v>
      </c>
      <c r="K38" s="7" t="n">
        <v>45839</v>
      </c>
      <c r="L38" s="7" t="n">
        <v>46204</v>
      </c>
      <c r="M38" s="8" t="n">
        <f aca="false">DATEDIF(K38,L38,"m")</f>
        <v>12</v>
      </c>
      <c r="N38" s="8" t="n">
        <f aca="false">DATEDIF(E38,L38,"m")</f>
        <v>27</v>
      </c>
      <c r="O38" s="12" t="n">
        <v>635</v>
      </c>
      <c r="P38" s="12" t="n">
        <f aca="false">O38/12</f>
        <v>52.9166666666667</v>
      </c>
      <c r="Q38" s="4" t="n">
        <v>1</v>
      </c>
      <c r="R38" s="10" t="n">
        <f aca="false">IF(N38&lt;=12,N38*P38,O38)</f>
        <v>635</v>
      </c>
      <c r="S38" s="4" t="s">
        <v>27</v>
      </c>
    </row>
    <row r="39" customFormat="false" ht="15" hidden="false" customHeight="false" outlineLevel="0" collapsed="false">
      <c r="A39" s="4" t="s">
        <v>28</v>
      </c>
      <c r="B39" s="4" t="s">
        <v>150</v>
      </c>
      <c r="C39" s="4" t="s">
        <v>164</v>
      </c>
      <c r="D39" s="11" t="s">
        <v>165</v>
      </c>
      <c r="E39" s="5" t="n">
        <f aca="false">DATEVALUE(LEFT(D39,10))</f>
        <v>45383</v>
      </c>
      <c r="F39" s="4"/>
      <c r="G39" s="4"/>
      <c r="H39" s="4" t="s">
        <v>24</v>
      </c>
      <c r="I39" s="4" t="s">
        <v>153</v>
      </c>
      <c r="J39" s="4" t="s">
        <v>26</v>
      </c>
      <c r="K39" s="7" t="n">
        <v>45839</v>
      </c>
      <c r="L39" s="7" t="n">
        <v>46204</v>
      </c>
      <c r="M39" s="8" t="n">
        <f aca="false">DATEDIF(K39,L39,"m")</f>
        <v>12</v>
      </c>
      <c r="N39" s="8" t="n">
        <f aca="false">DATEDIF(E39,L39,"m")</f>
        <v>27</v>
      </c>
      <c r="O39" s="12" t="n">
        <v>635</v>
      </c>
      <c r="P39" s="12" t="n">
        <f aca="false">O39/12</f>
        <v>52.9166666666667</v>
      </c>
      <c r="Q39" s="4" t="n">
        <v>1</v>
      </c>
      <c r="R39" s="10" t="n">
        <f aca="false">IF(N39&lt;=12,N39*P39,O39)</f>
        <v>635</v>
      </c>
      <c r="S39" s="4" t="s">
        <v>27</v>
      </c>
    </row>
    <row r="40" customFormat="false" ht="15" hidden="false" customHeight="false" outlineLevel="0" collapsed="false">
      <c r="A40" s="4" t="s">
        <v>28</v>
      </c>
      <c r="B40" s="4" t="s">
        <v>166</v>
      </c>
      <c r="C40" s="4" t="s">
        <v>167</v>
      </c>
      <c r="D40" s="11" t="s">
        <v>168</v>
      </c>
      <c r="E40" s="5" t="n">
        <f aca="false">DATEVALUE(LEFT(D40,10))</f>
        <v>45849</v>
      </c>
      <c r="F40" s="4"/>
      <c r="G40" s="4"/>
      <c r="H40" s="4" t="s">
        <v>24</v>
      </c>
      <c r="I40" s="4" t="s">
        <v>153</v>
      </c>
      <c r="J40" s="4" t="s">
        <v>26</v>
      </c>
      <c r="K40" s="7" t="n">
        <v>45839</v>
      </c>
      <c r="L40" s="7" t="n">
        <v>46204</v>
      </c>
      <c r="M40" s="8" t="n">
        <f aca="false">DATEDIF(K40,L40,"m")</f>
        <v>12</v>
      </c>
      <c r="N40" s="8" t="n">
        <f aca="false">DATEDIF(E40,L40,"m")</f>
        <v>11</v>
      </c>
      <c r="O40" s="12" t="n">
        <v>635</v>
      </c>
      <c r="P40" s="12" t="n">
        <f aca="false">O40/12</f>
        <v>52.9166666666667</v>
      </c>
      <c r="Q40" s="4" t="n">
        <v>1</v>
      </c>
      <c r="R40" s="10" t="n">
        <f aca="false">IF(N40&lt;=12,N40*P40,O40)</f>
        <v>582.083333333333</v>
      </c>
      <c r="S40" s="4" t="s">
        <v>27</v>
      </c>
    </row>
    <row r="41" customFormat="false" ht="15" hidden="false" customHeight="false" outlineLevel="0" collapsed="false">
      <c r="A41" s="4" t="s">
        <v>28</v>
      </c>
      <c r="B41" s="4" t="s">
        <v>169</v>
      </c>
      <c r="C41" s="4" t="s">
        <v>170</v>
      </c>
      <c r="D41" s="11" t="s">
        <v>171</v>
      </c>
      <c r="E41" s="5" t="n">
        <f aca="false">DATEVALUE(LEFT(D41,10))</f>
        <v>45313</v>
      </c>
      <c r="F41" s="4" t="s">
        <v>172</v>
      </c>
      <c r="G41" s="15" t="s">
        <v>173</v>
      </c>
      <c r="H41" s="4" t="s">
        <v>24</v>
      </c>
      <c r="I41" s="4" t="s">
        <v>25</v>
      </c>
      <c r="J41" s="4" t="s">
        <v>26</v>
      </c>
      <c r="K41" s="7" t="n">
        <v>45777</v>
      </c>
      <c r="L41" s="7" t="n">
        <v>46142</v>
      </c>
      <c r="M41" s="8" t="n">
        <f aca="false">DATEDIF(K41,L41,"m")</f>
        <v>12</v>
      </c>
      <c r="N41" s="8" t="n">
        <f aca="false">DATEDIF(E41,L41,"m")</f>
        <v>27</v>
      </c>
      <c r="O41" s="12" t="n">
        <v>1663</v>
      </c>
      <c r="P41" s="12" t="n">
        <f aca="false">O41/12</f>
        <v>138.583333333333</v>
      </c>
      <c r="Q41" s="4" t="n">
        <v>1</v>
      </c>
      <c r="R41" s="10" t="n">
        <f aca="false">IF(N41&lt;=12,N41*P41,O41)</f>
        <v>1663</v>
      </c>
      <c r="S41" s="4" t="s">
        <v>27</v>
      </c>
    </row>
    <row r="42" customFormat="false" ht="12" hidden="false" customHeight="true" outlineLevel="0" collapsed="false">
      <c r="A42" s="4" t="s">
        <v>28</v>
      </c>
      <c r="B42" s="4" t="s">
        <v>174</v>
      </c>
      <c r="C42" s="4" t="s">
        <v>175</v>
      </c>
      <c r="D42" s="11" t="s">
        <v>176</v>
      </c>
      <c r="E42" s="5" t="n">
        <f aca="false">DATEVALUE(LEFT(D42,10))</f>
        <v>45623</v>
      </c>
      <c r="F42" s="4" t="s">
        <v>42</v>
      </c>
      <c r="G42" s="15" t="s">
        <v>177</v>
      </c>
      <c r="H42" s="4" t="s">
        <v>24</v>
      </c>
      <c r="I42" s="4" t="s">
        <v>80</v>
      </c>
      <c r="J42" s="4" t="s">
        <v>38</v>
      </c>
      <c r="K42" s="7" t="n">
        <v>45997</v>
      </c>
      <c r="L42" s="7" t="n">
        <v>46362</v>
      </c>
      <c r="M42" s="8" t="n">
        <f aca="false">DATEDIF(K42,L42,"m")</f>
        <v>12</v>
      </c>
      <c r="N42" s="8" t="n">
        <f aca="false">DATEDIF(E42,L42,"m")</f>
        <v>24</v>
      </c>
      <c r="O42" s="16" t="n">
        <v>542.8</v>
      </c>
      <c r="P42" s="12" t="n">
        <f aca="false">O42/M42</f>
        <v>45.2333333333333</v>
      </c>
      <c r="Q42" s="4" t="n">
        <v>1</v>
      </c>
      <c r="R42" s="10" t="n">
        <f aca="false">IF(N42&lt;=12,N42*P42,O42)</f>
        <v>542.8</v>
      </c>
      <c r="S42" s="4" t="s">
        <v>27</v>
      </c>
    </row>
    <row r="43" customFormat="false" ht="17.25" hidden="false" customHeight="true" outlineLevel="0" collapsed="false">
      <c r="A43" s="4" t="s">
        <v>28</v>
      </c>
      <c r="B43" s="4" t="s">
        <v>178</v>
      </c>
      <c r="C43" s="4" t="s">
        <v>179</v>
      </c>
      <c r="D43" s="4" t="s">
        <v>180</v>
      </c>
      <c r="E43" s="5" t="n">
        <f aca="false">DATEVALUE(LEFT(D43,10))</f>
        <v>45324</v>
      </c>
      <c r="F43" s="4" t="s">
        <v>181</v>
      </c>
      <c r="G43" s="6" t="s">
        <v>182</v>
      </c>
      <c r="H43" s="4" t="s">
        <v>24</v>
      </c>
      <c r="I43" s="4" t="s">
        <v>25</v>
      </c>
      <c r="J43" s="4" t="s">
        <v>26</v>
      </c>
      <c r="K43" s="7" t="n">
        <v>45777</v>
      </c>
      <c r="L43" s="7" t="n">
        <v>46142</v>
      </c>
      <c r="M43" s="8" t="n">
        <f aca="false">DATEDIF(K43,L43,"m")</f>
        <v>12</v>
      </c>
      <c r="N43" s="8" t="n">
        <f aca="false">DATEDIF(E43,L43,"m")</f>
        <v>26</v>
      </c>
      <c r="O43" s="12" t="n">
        <v>1663</v>
      </c>
      <c r="P43" s="12" t="n">
        <f aca="false">O43/12</f>
        <v>138.583333333333</v>
      </c>
      <c r="Q43" s="4" t="n">
        <v>1</v>
      </c>
      <c r="R43" s="10" t="n">
        <f aca="false">IF(N43&lt;=12,N43*P43,O43)</f>
        <v>1663</v>
      </c>
      <c r="S43" s="4" t="s">
        <v>27</v>
      </c>
    </row>
    <row r="44" customFormat="false" ht="15" hidden="false" customHeight="false" outlineLevel="0" collapsed="false">
      <c r="A44" s="4" t="s">
        <v>28</v>
      </c>
      <c r="B44" s="4" t="s">
        <v>183</v>
      </c>
      <c r="C44" s="4" t="s">
        <v>184</v>
      </c>
      <c r="D44" s="11" t="s">
        <v>185</v>
      </c>
      <c r="E44" s="5" t="n">
        <f aca="false">DATEVALUE(LEFT(D44,10))</f>
        <v>44855</v>
      </c>
      <c r="F44" s="4" t="s">
        <v>186</v>
      </c>
      <c r="G44" s="15" t="s">
        <v>187</v>
      </c>
      <c r="H44" s="4" t="s">
        <v>24</v>
      </c>
      <c r="I44" s="4" t="s">
        <v>37</v>
      </c>
      <c r="J44" s="4" t="s">
        <v>38</v>
      </c>
      <c r="K44" s="7" t="n">
        <v>45944</v>
      </c>
      <c r="L44" s="7" t="n">
        <v>46309</v>
      </c>
      <c r="M44" s="8" t="n">
        <f aca="false">DATEDIF(K44,L44,"m")</f>
        <v>12</v>
      </c>
      <c r="N44" s="8" t="n">
        <f aca="false">DATEDIF(E44,L44,"m")</f>
        <v>47</v>
      </c>
      <c r="O44" s="12" t="n">
        <v>298.8</v>
      </c>
      <c r="P44" s="9" t="n">
        <f aca="false">O44/M44</f>
        <v>24.9</v>
      </c>
      <c r="Q44" s="4" t="n">
        <v>1</v>
      </c>
      <c r="R44" s="10" t="n">
        <f aca="false">IF(N44&lt;=12,N44*P44,O44)</f>
        <v>298.8</v>
      </c>
      <c r="S44" s="4" t="s">
        <v>27</v>
      </c>
    </row>
    <row r="45" customFormat="false" ht="15" hidden="false" customHeight="false" outlineLevel="0" collapsed="false">
      <c r="A45" s="4" t="s">
        <v>28</v>
      </c>
      <c r="B45" s="4" t="s">
        <v>188</v>
      </c>
      <c r="C45" s="4" t="s">
        <v>189</v>
      </c>
      <c r="D45" s="11" t="s">
        <v>190</v>
      </c>
      <c r="E45" s="5" t="n">
        <f aca="false">DATEVALUE(LEFT(D45,10))</f>
        <v>44855</v>
      </c>
      <c r="F45" s="4" t="s">
        <v>47</v>
      </c>
      <c r="G45" s="4" t="s">
        <v>103</v>
      </c>
      <c r="H45" s="4" t="s">
        <v>24</v>
      </c>
      <c r="I45" s="4" t="s">
        <v>25</v>
      </c>
      <c r="J45" s="4" t="s">
        <v>26</v>
      </c>
      <c r="K45" s="7" t="n">
        <v>45777</v>
      </c>
      <c r="L45" s="7" t="n">
        <v>46142</v>
      </c>
      <c r="M45" s="8" t="n">
        <f aca="false">DATEDIF(K45,L45,"m")</f>
        <v>12</v>
      </c>
      <c r="N45" s="8" t="n">
        <f aca="false">DATEDIF(E45,L45,"m")</f>
        <v>42</v>
      </c>
      <c r="O45" s="12" t="n">
        <v>1663</v>
      </c>
      <c r="P45" s="12" t="n">
        <f aca="false">O45/12</f>
        <v>138.583333333333</v>
      </c>
      <c r="Q45" s="4" t="n">
        <v>1</v>
      </c>
      <c r="R45" s="10" t="n">
        <f aca="false">IF(N45&lt;=12,N45*P45,O45)</f>
        <v>1663</v>
      </c>
      <c r="S45" s="4" t="s">
        <v>27</v>
      </c>
    </row>
    <row r="46" customFormat="false" ht="15" hidden="false" customHeight="false" outlineLevel="0" collapsed="false">
      <c r="A46" s="4" t="s">
        <v>28</v>
      </c>
      <c r="B46" s="4" t="s">
        <v>191</v>
      </c>
      <c r="C46" s="4" t="s">
        <v>192</v>
      </c>
      <c r="D46" s="11" t="s">
        <v>193</v>
      </c>
      <c r="E46" s="5" t="n">
        <f aca="false">DATEVALUE(LEFT(D46,10))</f>
        <v>45369</v>
      </c>
      <c r="F46" s="4" t="s">
        <v>141</v>
      </c>
      <c r="G46" s="15" t="s">
        <v>142</v>
      </c>
      <c r="H46" s="4" t="s">
        <v>24</v>
      </c>
      <c r="I46" s="4" t="s">
        <v>25</v>
      </c>
      <c r="J46" s="4" t="s">
        <v>26</v>
      </c>
      <c r="K46" s="7" t="n">
        <v>45777</v>
      </c>
      <c r="L46" s="7" t="n">
        <v>46142</v>
      </c>
      <c r="M46" s="8" t="n">
        <f aca="false">DATEDIF(K46,L46,"m")</f>
        <v>12</v>
      </c>
      <c r="N46" s="8" t="n">
        <f aca="false">DATEDIF(E46,L46,"m")</f>
        <v>25</v>
      </c>
      <c r="O46" s="12" t="n">
        <v>1663</v>
      </c>
      <c r="P46" s="12" t="n">
        <f aca="false">O46/12</f>
        <v>138.583333333333</v>
      </c>
      <c r="Q46" s="4" t="n">
        <v>1</v>
      </c>
      <c r="R46" s="10" t="n">
        <f aca="false">IF(N46&lt;=12,N46*P46,O46)</f>
        <v>1663</v>
      </c>
      <c r="S46" s="4" t="s">
        <v>27</v>
      </c>
    </row>
    <row r="47" customFormat="false" ht="15" hidden="false" customHeight="false" outlineLevel="0" collapsed="false">
      <c r="A47" s="4" t="s">
        <v>28</v>
      </c>
      <c r="B47" s="4" t="s">
        <v>194</v>
      </c>
      <c r="C47" s="4" t="s">
        <v>195</v>
      </c>
      <c r="D47" s="11" t="s">
        <v>196</v>
      </c>
      <c r="E47" s="5" t="n">
        <f aca="false">DATEVALUE(LEFT(D47,10))</f>
        <v>45868</v>
      </c>
      <c r="F47" s="4" t="s">
        <v>172</v>
      </c>
      <c r="G47" s="15" t="s">
        <v>173</v>
      </c>
      <c r="H47" s="4" t="s">
        <v>24</v>
      </c>
      <c r="I47" s="4" t="s">
        <v>25</v>
      </c>
      <c r="J47" s="4" t="s">
        <v>26</v>
      </c>
      <c r="K47" s="7" t="n">
        <v>45777</v>
      </c>
      <c r="L47" s="7" t="n">
        <v>46142</v>
      </c>
      <c r="M47" s="8" t="n">
        <f aca="false">DATEDIF(K47,L47,"m")</f>
        <v>12</v>
      </c>
      <c r="N47" s="8" t="n">
        <f aca="false">DATEDIF(E47,L47,"m")</f>
        <v>9</v>
      </c>
      <c r="O47" s="12" t="n">
        <v>1663</v>
      </c>
      <c r="P47" s="12" t="n">
        <f aca="false">O47/12</f>
        <v>138.583333333333</v>
      </c>
      <c r="Q47" s="4" t="n">
        <v>1</v>
      </c>
      <c r="R47" s="10" t="n">
        <f aca="false">IF(N47&lt;=12,N47*P47,O47)</f>
        <v>1247.25</v>
      </c>
      <c r="S47" s="4" t="s">
        <v>27</v>
      </c>
    </row>
    <row r="48" customFormat="false" ht="15" hidden="false" customHeight="false" outlineLevel="0" collapsed="false">
      <c r="A48" s="4" t="s">
        <v>28</v>
      </c>
      <c r="B48" s="4" t="s">
        <v>197</v>
      </c>
      <c r="C48" s="4" t="s">
        <v>198</v>
      </c>
      <c r="D48" s="11" t="s">
        <v>199</v>
      </c>
      <c r="E48" s="5" t="n">
        <f aca="false">DATEVALUE(LEFT(D48,10))</f>
        <v>45391</v>
      </c>
      <c r="F48" s="4" t="s">
        <v>172</v>
      </c>
      <c r="G48" s="15" t="s">
        <v>173</v>
      </c>
      <c r="H48" s="4" t="s">
        <v>24</v>
      </c>
      <c r="I48" s="4" t="s">
        <v>25</v>
      </c>
      <c r="J48" s="4" t="s">
        <v>26</v>
      </c>
      <c r="K48" s="7" t="n">
        <v>45777</v>
      </c>
      <c r="L48" s="7" t="n">
        <v>46142</v>
      </c>
      <c r="M48" s="8" t="n">
        <f aca="false">DATEDIF(K48,L48,"m")</f>
        <v>12</v>
      </c>
      <c r="N48" s="8" t="n">
        <f aca="false">DATEDIF(E48,L48,"m")</f>
        <v>24</v>
      </c>
      <c r="O48" s="12" t="n">
        <v>1663</v>
      </c>
      <c r="P48" s="12" t="n">
        <f aca="false">O48/12</f>
        <v>138.583333333333</v>
      </c>
      <c r="Q48" s="4" t="n">
        <v>1</v>
      </c>
      <c r="R48" s="10" t="n">
        <f aca="false">IF(N48&lt;=12,N48*P48,O48)</f>
        <v>1663</v>
      </c>
      <c r="S48" s="4" t="s">
        <v>27</v>
      </c>
    </row>
    <row r="49" customFormat="false" ht="15" hidden="false" customHeight="false" outlineLevel="0" collapsed="false">
      <c r="A49" s="4" t="s">
        <v>28</v>
      </c>
      <c r="B49" s="4" t="s">
        <v>200</v>
      </c>
      <c r="C49" s="4" t="s">
        <v>201</v>
      </c>
      <c r="D49" s="11" t="s">
        <v>202</v>
      </c>
      <c r="E49" s="5" t="n">
        <f aca="false">DATEVALUE(LEFT(D49,10))</f>
        <v>44855</v>
      </c>
      <c r="F49" s="4" t="s">
        <v>52</v>
      </c>
      <c r="G49" s="15" t="s">
        <v>53</v>
      </c>
      <c r="H49" s="4" t="s">
        <v>24</v>
      </c>
      <c r="I49" s="4" t="s">
        <v>25</v>
      </c>
      <c r="J49" s="4" t="s">
        <v>26</v>
      </c>
      <c r="K49" s="7" t="n">
        <v>45777</v>
      </c>
      <c r="L49" s="7" t="n">
        <v>46142</v>
      </c>
      <c r="M49" s="8" t="n">
        <f aca="false">DATEDIF(K49,L49,"m")</f>
        <v>12</v>
      </c>
      <c r="N49" s="8" t="n">
        <f aca="false">DATEDIF(E49,L49,"m")</f>
        <v>42</v>
      </c>
      <c r="O49" s="12" t="n">
        <v>1663</v>
      </c>
      <c r="P49" s="12" t="n">
        <f aca="false">O49/12</f>
        <v>138.583333333333</v>
      </c>
      <c r="Q49" s="4" t="n">
        <v>1</v>
      </c>
      <c r="R49" s="10" t="n">
        <f aca="false">IF(N49&lt;=12,N49*P49,O49)</f>
        <v>1663</v>
      </c>
      <c r="S49" s="4" t="s">
        <v>27</v>
      </c>
    </row>
    <row r="50" customFormat="false" ht="15" hidden="false" customHeight="false" outlineLevel="0" collapsed="false">
      <c r="A50" s="4" t="s">
        <v>28</v>
      </c>
      <c r="B50" s="4" t="s">
        <v>203</v>
      </c>
      <c r="C50" s="4" t="s">
        <v>204</v>
      </c>
      <c r="D50" s="11" t="s">
        <v>205</v>
      </c>
      <c r="E50" s="5" t="n">
        <f aca="false">DATEVALUE(LEFT(D50,10))</f>
        <v>44855</v>
      </c>
      <c r="F50" s="4" t="s">
        <v>203</v>
      </c>
      <c r="G50" s="15" t="s">
        <v>137</v>
      </c>
      <c r="H50" s="4" t="s">
        <v>24</v>
      </c>
      <c r="I50" s="4" t="s">
        <v>25</v>
      </c>
      <c r="J50" s="4" t="s">
        <v>26</v>
      </c>
      <c r="K50" s="7" t="n">
        <v>45777</v>
      </c>
      <c r="L50" s="7" t="n">
        <v>46142</v>
      </c>
      <c r="M50" s="8" t="n">
        <f aca="false">DATEDIF(K50,L50,"m")</f>
        <v>12</v>
      </c>
      <c r="N50" s="8" t="n">
        <f aca="false">DATEDIF(E50,L50,"m")</f>
        <v>42</v>
      </c>
      <c r="O50" s="12" t="n">
        <v>1663</v>
      </c>
      <c r="P50" s="12" t="n">
        <f aca="false">O50/12</f>
        <v>138.583333333333</v>
      </c>
      <c r="Q50" s="4" t="n">
        <v>1</v>
      </c>
      <c r="R50" s="10" t="n">
        <f aca="false">IF(N50&lt;=12,N50*P50,O50)</f>
        <v>1663</v>
      </c>
      <c r="S50" s="4" t="s">
        <v>27</v>
      </c>
    </row>
    <row r="51" customFormat="false" ht="15" hidden="false" customHeight="false" outlineLevel="0" collapsed="false">
      <c r="A51" s="4" t="s">
        <v>28</v>
      </c>
      <c r="B51" s="4" t="s">
        <v>206</v>
      </c>
      <c r="C51" s="4" t="s">
        <v>207</v>
      </c>
      <c r="D51" s="11" t="s">
        <v>208</v>
      </c>
      <c r="E51" s="5" t="n">
        <f aca="false">DATEVALUE(LEFT(D51,10))</f>
        <v>45359</v>
      </c>
      <c r="F51" s="4" t="s">
        <v>186</v>
      </c>
      <c r="G51" s="15" t="s">
        <v>209</v>
      </c>
      <c r="H51" s="4" t="s">
        <v>24</v>
      </c>
      <c r="I51" s="4" t="s">
        <v>25</v>
      </c>
      <c r="J51" s="4" t="s">
        <v>26</v>
      </c>
      <c r="K51" s="7" t="n">
        <v>45777</v>
      </c>
      <c r="L51" s="7" t="n">
        <v>46142</v>
      </c>
      <c r="M51" s="8" t="n">
        <f aca="false">DATEDIF(K51,L51,"m")</f>
        <v>12</v>
      </c>
      <c r="N51" s="8" t="n">
        <f aca="false">DATEDIF(E51,L51,"m")</f>
        <v>25</v>
      </c>
      <c r="O51" s="12" t="n">
        <v>1663</v>
      </c>
      <c r="P51" s="12" t="n">
        <f aca="false">O51/12</f>
        <v>138.583333333333</v>
      </c>
      <c r="Q51" s="4" t="n">
        <v>1</v>
      </c>
      <c r="R51" s="10" t="n">
        <f aca="false">IF(N51&lt;=12,N51*P51,O51)</f>
        <v>1663</v>
      </c>
      <c r="S51" s="4" t="s">
        <v>27</v>
      </c>
    </row>
    <row r="52" customFormat="false" ht="15" hidden="false" customHeight="false" outlineLevel="0" collapsed="false">
      <c r="A52" s="4" t="s">
        <v>28</v>
      </c>
      <c r="B52" s="4" t="s">
        <v>210</v>
      </c>
      <c r="C52" s="4" t="s">
        <v>211</v>
      </c>
      <c r="D52" s="11" t="s">
        <v>212</v>
      </c>
      <c r="E52" s="5" t="n">
        <f aca="false">DATEVALUE(LEFT(D52,10))</f>
        <v>45447</v>
      </c>
      <c r="F52" s="4" t="s">
        <v>213</v>
      </c>
      <c r="G52" s="15" t="s">
        <v>48</v>
      </c>
      <c r="H52" s="4" t="s">
        <v>24</v>
      </c>
      <c r="I52" s="4" t="s">
        <v>37</v>
      </c>
      <c r="J52" s="4" t="s">
        <v>38</v>
      </c>
      <c r="K52" s="7" t="n">
        <v>45944</v>
      </c>
      <c r="L52" s="7" t="n">
        <v>46309</v>
      </c>
      <c r="M52" s="8" t="n">
        <f aca="false">DATEDIF(K52,L52,"m")</f>
        <v>12</v>
      </c>
      <c r="N52" s="8" t="n">
        <f aca="false">DATEDIF(E52,L52,"m")</f>
        <v>28</v>
      </c>
      <c r="O52" s="12" t="n">
        <v>298.8</v>
      </c>
      <c r="P52" s="9" t="n">
        <f aca="false">O52/M52</f>
        <v>24.9</v>
      </c>
      <c r="Q52" s="4" t="n">
        <v>1</v>
      </c>
      <c r="R52" s="10" t="n">
        <f aca="false">IF(N52&lt;=12,N52*P52,O52)</f>
        <v>298.8</v>
      </c>
      <c r="S52" s="4" t="s">
        <v>27</v>
      </c>
    </row>
    <row r="53" customFormat="false" ht="15" hidden="false" customHeight="false" outlineLevel="0" collapsed="false">
      <c r="A53" s="4" t="s">
        <v>28</v>
      </c>
      <c r="B53" s="4" t="s">
        <v>210</v>
      </c>
      <c r="C53" s="4" t="s">
        <v>211</v>
      </c>
      <c r="D53" s="11" t="s">
        <v>212</v>
      </c>
      <c r="E53" s="5" t="n">
        <f aca="false">DATEVALUE(LEFT(D53,10))</f>
        <v>45447</v>
      </c>
      <c r="F53" s="4" t="s">
        <v>213</v>
      </c>
      <c r="G53" s="15" t="s">
        <v>48</v>
      </c>
      <c r="H53" s="4" t="s">
        <v>24</v>
      </c>
      <c r="I53" s="4" t="s">
        <v>80</v>
      </c>
      <c r="J53" s="4" t="s">
        <v>38</v>
      </c>
      <c r="K53" s="7" t="n">
        <v>45997</v>
      </c>
      <c r="L53" s="7" t="n">
        <v>46362</v>
      </c>
      <c r="M53" s="8" t="n">
        <f aca="false">DATEDIF(K53,L53,"m")</f>
        <v>12</v>
      </c>
      <c r="N53" s="8" t="n">
        <f aca="false">DATEDIF(E53,L53,"m")</f>
        <v>30</v>
      </c>
      <c r="O53" s="16" t="n">
        <v>542.8</v>
      </c>
      <c r="P53" s="12" t="n">
        <f aca="false">O53/M53</f>
        <v>45.2333333333333</v>
      </c>
      <c r="Q53" s="4" t="n">
        <v>1</v>
      </c>
      <c r="R53" s="10" t="n">
        <f aca="false">IF(N53&lt;=12,N53*P53,O53)</f>
        <v>542.8</v>
      </c>
      <c r="S53" s="4" t="s">
        <v>27</v>
      </c>
    </row>
    <row r="54" customFormat="false" ht="15" hidden="false" customHeight="false" outlineLevel="0" collapsed="false">
      <c r="A54" s="4" t="s">
        <v>28</v>
      </c>
      <c r="B54" s="4" t="s">
        <v>214</v>
      </c>
      <c r="C54" s="4" t="s">
        <v>215</v>
      </c>
      <c r="D54" s="11" t="s">
        <v>216</v>
      </c>
      <c r="E54" s="5" t="n">
        <f aca="false">DATEVALUE(LEFT(D54,10))</f>
        <v>45390</v>
      </c>
      <c r="F54" s="4" t="s">
        <v>186</v>
      </c>
      <c r="G54" s="15" t="s">
        <v>187</v>
      </c>
      <c r="H54" s="4" t="s">
        <v>24</v>
      </c>
      <c r="I54" s="4" t="s">
        <v>37</v>
      </c>
      <c r="J54" s="4" t="s">
        <v>38</v>
      </c>
      <c r="K54" s="7" t="n">
        <v>45944</v>
      </c>
      <c r="L54" s="7" t="n">
        <v>46309</v>
      </c>
      <c r="M54" s="8" t="n">
        <f aca="false">DATEDIF(K54,L54,"m")</f>
        <v>12</v>
      </c>
      <c r="N54" s="8" t="n">
        <f aca="false">DATEDIF(E54,L54,"m")</f>
        <v>30</v>
      </c>
      <c r="O54" s="12" t="n">
        <v>298.8</v>
      </c>
      <c r="P54" s="9" t="n">
        <f aca="false">O54/M54</f>
        <v>24.9</v>
      </c>
      <c r="Q54" s="4" t="n">
        <v>1</v>
      </c>
      <c r="R54" s="10" t="n">
        <f aca="false">IF(N54&lt;=12,N54*P54,O54)</f>
        <v>298.8</v>
      </c>
      <c r="S54" s="4" t="s">
        <v>27</v>
      </c>
    </row>
    <row r="55" customFormat="false" ht="15" hidden="false" customHeight="false" outlineLevel="0" collapsed="false">
      <c r="A55" s="4" t="s">
        <v>28</v>
      </c>
      <c r="B55" s="4" t="s">
        <v>217</v>
      </c>
      <c r="C55" s="4" t="s">
        <v>218</v>
      </c>
      <c r="D55" s="11" t="s">
        <v>219</v>
      </c>
      <c r="E55" s="5" t="n">
        <f aca="false">DATEVALUE(LEFT(D55,10))</f>
        <v>45687</v>
      </c>
      <c r="F55" s="4" t="s">
        <v>108</v>
      </c>
      <c r="G55" s="15" t="s">
        <v>109</v>
      </c>
      <c r="H55" s="4" t="s">
        <v>24</v>
      </c>
      <c r="I55" s="4" t="s">
        <v>25</v>
      </c>
      <c r="J55" s="4" t="s">
        <v>26</v>
      </c>
      <c r="K55" s="7" t="n">
        <v>45777</v>
      </c>
      <c r="L55" s="7" t="n">
        <v>46142</v>
      </c>
      <c r="M55" s="8" t="n">
        <f aca="false">DATEDIF(K55,L55,"m")</f>
        <v>12</v>
      </c>
      <c r="N55" s="8" t="n">
        <f aca="false">DATEDIF(E55,L55,"m")</f>
        <v>15</v>
      </c>
      <c r="O55" s="12" t="n">
        <v>1663</v>
      </c>
      <c r="P55" s="12" t="n">
        <f aca="false">O55/12</f>
        <v>138.583333333333</v>
      </c>
      <c r="Q55" s="4" t="n">
        <v>1</v>
      </c>
      <c r="R55" s="10" t="n">
        <f aca="false">IF(N55&lt;=12,N55*P55,O55)</f>
        <v>1663</v>
      </c>
      <c r="S55" s="4" t="s">
        <v>27</v>
      </c>
    </row>
    <row r="56" customFormat="false" ht="15" hidden="false" customHeight="false" outlineLevel="0" collapsed="false">
      <c r="A56" s="4" t="s">
        <v>28</v>
      </c>
      <c r="B56" s="4" t="s">
        <v>220</v>
      </c>
      <c r="C56" s="4" t="s">
        <v>221</v>
      </c>
      <c r="D56" s="11" t="s">
        <v>222</v>
      </c>
      <c r="E56" s="5" t="n">
        <f aca="false">DATEVALUE(LEFT(D56,10))</f>
        <v>44942</v>
      </c>
      <c r="F56" s="4" t="s">
        <v>203</v>
      </c>
      <c r="G56" s="15" t="s">
        <v>137</v>
      </c>
      <c r="H56" s="4" t="s">
        <v>24</v>
      </c>
      <c r="I56" s="4" t="s">
        <v>25</v>
      </c>
      <c r="J56" s="4" t="s">
        <v>26</v>
      </c>
      <c r="K56" s="7" t="n">
        <v>45777</v>
      </c>
      <c r="L56" s="7" t="n">
        <v>46142</v>
      </c>
      <c r="M56" s="8" t="n">
        <f aca="false">DATEDIF(K56,L56,"m")</f>
        <v>12</v>
      </c>
      <c r="N56" s="8" t="n">
        <f aca="false">DATEDIF(E56,L56,"m")</f>
        <v>39</v>
      </c>
      <c r="O56" s="12" t="n">
        <v>1663</v>
      </c>
      <c r="P56" s="12" t="n">
        <f aca="false">O56/12</f>
        <v>138.583333333333</v>
      </c>
      <c r="Q56" s="4" t="n">
        <v>1</v>
      </c>
      <c r="R56" s="10" t="n">
        <f aca="false">IF(N56&lt;=12,N56*P56,O56)</f>
        <v>1663</v>
      </c>
      <c r="S56" s="4" t="s">
        <v>27</v>
      </c>
    </row>
    <row r="57" customFormat="false" ht="15" hidden="false" customHeight="false" outlineLevel="0" collapsed="false">
      <c r="A57" s="4" t="s">
        <v>19</v>
      </c>
      <c r="B57" s="4" t="s">
        <v>223</v>
      </c>
      <c r="C57" s="4" t="s">
        <v>224</v>
      </c>
      <c r="D57" s="4" t="s">
        <v>225</v>
      </c>
      <c r="E57" s="5" t="n">
        <f aca="false">DATEVALUE(LEFT(D57,10))</f>
        <v>45699</v>
      </c>
      <c r="F57" s="4" t="s">
        <v>23</v>
      </c>
      <c r="G57" s="4" t="s">
        <v>23</v>
      </c>
      <c r="H57" s="6" t="s">
        <v>24</v>
      </c>
      <c r="I57" s="4" t="s">
        <v>25</v>
      </c>
      <c r="J57" s="4" t="s">
        <v>26</v>
      </c>
      <c r="K57" s="7" t="n">
        <v>45814</v>
      </c>
      <c r="L57" s="7" t="n">
        <v>46180</v>
      </c>
      <c r="M57" s="8" t="n">
        <f aca="false">DATEDIF(K57,L57,"m")</f>
        <v>12</v>
      </c>
      <c r="N57" s="8" t="n">
        <f aca="false">DATEDIF(E57,L57,"m")</f>
        <v>15</v>
      </c>
      <c r="O57" s="9" t="n">
        <v>1794.5</v>
      </c>
      <c r="P57" s="9" t="n">
        <f aca="false">O57/M57</f>
        <v>149.541666666667</v>
      </c>
      <c r="Q57" s="4" t="n">
        <v>1</v>
      </c>
      <c r="R57" s="10" t="n">
        <f aca="false">IF(N57&lt;=12,N57*P57,O57)</f>
        <v>1794.5</v>
      </c>
      <c r="S57" s="4" t="s">
        <v>27</v>
      </c>
    </row>
    <row r="58" customFormat="false" ht="15" hidden="false" customHeight="false" outlineLevel="0" collapsed="false">
      <c r="A58" s="4" t="s">
        <v>28</v>
      </c>
      <c r="B58" s="4" t="s">
        <v>226</v>
      </c>
      <c r="C58" s="4" t="s">
        <v>227</v>
      </c>
      <c r="D58" s="11" t="s">
        <v>228</v>
      </c>
      <c r="E58" s="5" t="n">
        <f aca="false">DATEVALUE(LEFT(D58,10))</f>
        <v>45771</v>
      </c>
      <c r="F58" s="4" t="s">
        <v>42</v>
      </c>
      <c r="G58" s="15" t="s">
        <v>57</v>
      </c>
      <c r="H58" s="4" t="s">
        <v>24</v>
      </c>
      <c r="I58" s="4" t="s">
        <v>25</v>
      </c>
      <c r="J58" s="4" t="s">
        <v>26</v>
      </c>
      <c r="K58" s="7" t="n">
        <v>45777</v>
      </c>
      <c r="L58" s="7" t="n">
        <v>46142</v>
      </c>
      <c r="M58" s="8" t="n">
        <f aca="false">DATEDIF(K58,L58,"m")</f>
        <v>12</v>
      </c>
      <c r="N58" s="8" t="n">
        <f aca="false">DATEDIF(E58,L58,"m")</f>
        <v>12</v>
      </c>
      <c r="O58" s="12" t="n">
        <v>1663</v>
      </c>
      <c r="P58" s="12" t="n">
        <f aca="false">O58/12</f>
        <v>138.583333333333</v>
      </c>
      <c r="Q58" s="4" t="n">
        <v>1</v>
      </c>
      <c r="R58" s="10" t="n">
        <f aca="false">IF(N58&lt;=12,N58*P58,O58)</f>
        <v>1663</v>
      </c>
      <c r="S58" s="4" t="s">
        <v>27</v>
      </c>
    </row>
    <row r="59" customFormat="false" ht="15" hidden="false" customHeight="false" outlineLevel="0" collapsed="false">
      <c r="A59" s="4" t="s">
        <v>28</v>
      </c>
      <c r="B59" s="4" t="s">
        <v>229</v>
      </c>
      <c r="C59" s="4" t="s">
        <v>230</v>
      </c>
      <c r="D59" s="11" t="s">
        <v>231</v>
      </c>
      <c r="E59" s="5" t="n">
        <f aca="false">DATEVALUE(LEFT(D59,10))</f>
        <v>44855</v>
      </c>
      <c r="F59" s="4" t="s">
        <v>97</v>
      </c>
      <c r="G59" s="15" t="s">
        <v>53</v>
      </c>
      <c r="H59" s="4" t="s">
        <v>24</v>
      </c>
      <c r="I59" s="4" t="s">
        <v>37</v>
      </c>
      <c r="J59" s="4" t="s">
        <v>38</v>
      </c>
      <c r="K59" s="7" t="n">
        <v>45944</v>
      </c>
      <c r="L59" s="7" t="n">
        <v>46309</v>
      </c>
      <c r="M59" s="8" t="n">
        <f aca="false">DATEDIF(K59,L59,"m")</f>
        <v>12</v>
      </c>
      <c r="N59" s="8" t="n">
        <f aca="false">DATEDIF(E59,L59,"m")</f>
        <v>47</v>
      </c>
      <c r="O59" s="12" t="n">
        <v>298.8</v>
      </c>
      <c r="P59" s="9" t="n">
        <f aca="false">O59/M59</f>
        <v>24.9</v>
      </c>
      <c r="Q59" s="4" t="n">
        <v>1</v>
      </c>
      <c r="R59" s="10" t="n">
        <f aca="false">IF(N59&lt;=12,N59*P59,O59)</f>
        <v>298.8</v>
      </c>
      <c r="S59" s="4" t="s">
        <v>27</v>
      </c>
    </row>
    <row r="60" customFormat="false" ht="15" hidden="false" customHeight="false" outlineLevel="0" collapsed="false">
      <c r="A60" s="4" t="s">
        <v>28</v>
      </c>
      <c r="B60" s="4" t="s">
        <v>232</v>
      </c>
      <c r="C60" s="4" t="s">
        <v>233</v>
      </c>
      <c r="D60" s="11" t="s">
        <v>234</v>
      </c>
      <c r="E60" s="5" t="n">
        <f aca="false">DATEVALUE(LEFT(D60,10))</f>
        <v>44881</v>
      </c>
      <c r="F60" s="4" t="s">
        <v>42</v>
      </c>
      <c r="G60" s="15" t="s">
        <v>57</v>
      </c>
      <c r="H60" s="4" t="s">
        <v>24</v>
      </c>
      <c r="I60" s="4" t="s">
        <v>25</v>
      </c>
      <c r="J60" s="4" t="s">
        <v>26</v>
      </c>
      <c r="K60" s="7" t="n">
        <v>45777</v>
      </c>
      <c r="L60" s="7" t="n">
        <v>46142</v>
      </c>
      <c r="M60" s="8" t="n">
        <f aca="false">DATEDIF(K60,L60,"m")</f>
        <v>12</v>
      </c>
      <c r="N60" s="8" t="n">
        <f aca="false">DATEDIF(E60,L60,"m")</f>
        <v>41</v>
      </c>
      <c r="O60" s="12" t="n">
        <v>1663</v>
      </c>
      <c r="P60" s="12" t="n">
        <f aca="false">O60/12</f>
        <v>138.583333333333</v>
      </c>
      <c r="Q60" s="4" t="n">
        <v>1</v>
      </c>
      <c r="R60" s="10" t="n">
        <f aca="false">IF(N60&lt;=12,N60*P60,O60)</f>
        <v>1663</v>
      </c>
      <c r="S60" s="4" t="s">
        <v>27</v>
      </c>
    </row>
    <row r="61" customFormat="false" ht="15" hidden="false" customHeight="false" outlineLevel="0" collapsed="false">
      <c r="A61" s="4" t="s">
        <v>28</v>
      </c>
      <c r="B61" s="4" t="s">
        <v>235</v>
      </c>
      <c r="C61" s="4" t="s">
        <v>236</v>
      </c>
      <c r="D61" s="11" t="s">
        <v>237</v>
      </c>
      <c r="E61" s="5" t="n">
        <f aca="false">DATEVALUE(LEFT(D61,10))</f>
        <v>45390</v>
      </c>
      <c r="F61" s="4" t="s">
        <v>42</v>
      </c>
      <c r="G61" s="15" t="s">
        <v>238</v>
      </c>
      <c r="H61" s="4" t="s">
        <v>24</v>
      </c>
      <c r="I61" s="4" t="s">
        <v>37</v>
      </c>
      <c r="J61" s="4" t="s">
        <v>38</v>
      </c>
      <c r="K61" s="7" t="n">
        <v>45944</v>
      </c>
      <c r="L61" s="7" t="n">
        <v>46309</v>
      </c>
      <c r="M61" s="8" t="n">
        <f aca="false">DATEDIF(K61,L61,"m")</f>
        <v>12</v>
      </c>
      <c r="N61" s="8" t="n">
        <f aca="false">DATEDIF(E61,L61,"m")</f>
        <v>30</v>
      </c>
      <c r="O61" s="12" t="n">
        <v>298.8</v>
      </c>
      <c r="P61" s="9" t="n">
        <f aca="false">O61/M61</f>
        <v>24.9</v>
      </c>
      <c r="Q61" s="4" t="n">
        <v>1</v>
      </c>
      <c r="R61" s="10" t="n">
        <f aca="false">IF(N61&lt;=12,N61*P61,O61)</f>
        <v>298.8</v>
      </c>
      <c r="S61" s="4" t="s">
        <v>27</v>
      </c>
    </row>
    <row r="62" customFormat="false" ht="15" hidden="false" customHeight="false" outlineLevel="0" collapsed="false">
      <c r="A62" s="4" t="s">
        <v>28</v>
      </c>
      <c r="B62" s="4" t="s">
        <v>239</v>
      </c>
      <c r="C62" s="4" t="s">
        <v>240</v>
      </c>
      <c r="D62" s="11" t="s">
        <v>241</v>
      </c>
      <c r="E62" s="5" t="n">
        <f aca="false">DATEVALUE(LEFT(D62,10))</f>
        <v>44855</v>
      </c>
      <c r="F62" s="4" t="s">
        <v>108</v>
      </c>
      <c r="G62" s="15" t="s">
        <v>109</v>
      </c>
      <c r="H62" s="4" t="s">
        <v>24</v>
      </c>
      <c r="I62" s="4" t="s">
        <v>25</v>
      </c>
      <c r="J62" s="4" t="s">
        <v>26</v>
      </c>
      <c r="K62" s="7" t="n">
        <v>45777</v>
      </c>
      <c r="L62" s="7" t="n">
        <v>46142</v>
      </c>
      <c r="M62" s="8" t="n">
        <f aca="false">DATEDIF(K62,L62,"m")</f>
        <v>12</v>
      </c>
      <c r="N62" s="8" t="n">
        <f aca="false">DATEDIF(E62,L62,"m")</f>
        <v>42</v>
      </c>
      <c r="O62" s="12" t="n">
        <v>1663</v>
      </c>
      <c r="P62" s="12" t="n">
        <f aca="false">O62/12</f>
        <v>138.583333333333</v>
      </c>
      <c r="Q62" s="4" t="n">
        <v>1</v>
      </c>
      <c r="R62" s="10" t="n">
        <f aca="false">IF(N62&lt;=12,N62*P62,O62)</f>
        <v>1663</v>
      </c>
      <c r="S62" s="4" t="s">
        <v>27</v>
      </c>
    </row>
    <row r="63" customFormat="false" ht="15" hidden="false" customHeight="false" outlineLevel="0" collapsed="false">
      <c r="A63" s="4" t="s">
        <v>28</v>
      </c>
      <c r="B63" s="4" t="s">
        <v>242</v>
      </c>
      <c r="C63" s="4" t="s">
        <v>243</v>
      </c>
      <c r="D63" s="11" t="s">
        <v>244</v>
      </c>
      <c r="E63" s="5" t="n">
        <f aca="false">DATEVALUE(LEFT(D63,10))</f>
        <v>44855</v>
      </c>
      <c r="F63" s="4" t="s">
        <v>245</v>
      </c>
      <c r="G63" s="15" t="s">
        <v>79</v>
      </c>
      <c r="H63" s="4" t="s">
        <v>24</v>
      </c>
      <c r="I63" s="4" t="s">
        <v>37</v>
      </c>
      <c r="J63" s="4" t="s">
        <v>38</v>
      </c>
      <c r="K63" s="7" t="n">
        <v>45944</v>
      </c>
      <c r="L63" s="7" t="n">
        <v>46309</v>
      </c>
      <c r="M63" s="8" t="n">
        <f aca="false">DATEDIF(K63,L63,"m")</f>
        <v>12</v>
      </c>
      <c r="N63" s="8" t="n">
        <f aca="false">DATEDIF(E63,L63,"m")</f>
        <v>47</v>
      </c>
      <c r="O63" s="12" t="n">
        <v>298.8</v>
      </c>
      <c r="P63" s="9" t="n">
        <f aca="false">O63/M63</f>
        <v>24.9</v>
      </c>
      <c r="Q63" s="4" t="n">
        <v>1</v>
      </c>
      <c r="R63" s="10" t="n">
        <f aca="false">IF(N63&lt;=12,N63*P63,O63)</f>
        <v>298.8</v>
      </c>
      <c r="S63" s="4" t="s">
        <v>27</v>
      </c>
    </row>
    <row r="64" customFormat="false" ht="15" hidden="false" customHeight="false" outlineLevel="0" collapsed="false">
      <c r="A64" s="4" t="s">
        <v>98</v>
      </c>
      <c r="B64" s="4" t="s">
        <v>246</v>
      </c>
      <c r="C64" s="4" t="s">
        <v>247</v>
      </c>
      <c r="D64" s="4" t="s">
        <v>248</v>
      </c>
      <c r="E64" s="5" t="n">
        <f aca="false">DATEVALUE(LEFT(D64,10))</f>
        <v>44855</v>
      </c>
      <c r="F64" s="4" t="s">
        <v>102</v>
      </c>
      <c r="G64" s="15" t="s">
        <v>79</v>
      </c>
      <c r="H64" s="4" t="s">
        <v>104</v>
      </c>
      <c r="I64" s="4" t="s">
        <v>37</v>
      </c>
      <c r="J64" s="4" t="s">
        <v>38</v>
      </c>
      <c r="K64" s="7" t="n">
        <v>45839</v>
      </c>
      <c r="L64" s="7" t="n">
        <v>46204</v>
      </c>
      <c r="M64" s="8" t="n">
        <f aca="false">DATEDIF(K64,L64,"m")</f>
        <v>12</v>
      </c>
      <c r="N64" s="8" t="n">
        <f aca="false">DATEDIF(E64,L64,"m")</f>
        <v>44</v>
      </c>
      <c r="O64" s="9" t="n">
        <v>298.8</v>
      </c>
      <c r="P64" s="9" t="n">
        <f aca="false">O64/M64</f>
        <v>24.9</v>
      </c>
      <c r="Q64" s="4" t="n">
        <v>1</v>
      </c>
      <c r="R64" s="10" t="n">
        <f aca="false">IF(N64&lt;=12,N64*P64,O64)</f>
        <v>298.8</v>
      </c>
      <c r="S64" s="4" t="s">
        <v>27</v>
      </c>
    </row>
    <row r="65" customFormat="false" ht="15" hidden="false" customHeight="false" outlineLevel="0" collapsed="false">
      <c r="A65" s="4" t="s">
        <v>28</v>
      </c>
      <c r="B65" s="4" t="s">
        <v>249</v>
      </c>
      <c r="C65" s="4" t="s">
        <v>250</v>
      </c>
      <c r="D65" s="11" t="s">
        <v>251</v>
      </c>
      <c r="E65" s="5" t="n">
        <f aca="false">DATEVALUE(LEFT(D65,10))</f>
        <v>45798</v>
      </c>
      <c r="F65" s="4" t="s">
        <v>36</v>
      </c>
      <c r="G65" s="15" t="s">
        <v>33</v>
      </c>
      <c r="H65" s="4" t="s">
        <v>24</v>
      </c>
      <c r="I65" s="4" t="s">
        <v>25</v>
      </c>
      <c r="J65" s="4" t="s">
        <v>26</v>
      </c>
      <c r="K65" s="7" t="n">
        <v>45777</v>
      </c>
      <c r="L65" s="7" t="n">
        <v>46142</v>
      </c>
      <c r="M65" s="8" t="n">
        <f aca="false">DATEDIF(K65,L65,"m")</f>
        <v>12</v>
      </c>
      <c r="N65" s="8" t="n">
        <f aca="false">DATEDIF(E65,L65,"m")</f>
        <v>11</v>
      </c>
      <c r="O65" s="12" t="n">
        <v>1663</v>
      </c>
      <c r="P65" s="12" t="n">
        <f aca="false">O65/12</f>
        <v>138.583333333333</v>
      </c>
      <c r="Q65" s="4" t="n">
        <v>1</v>
      </c>
      <c r="R65" s="10" t="n">
        <f aca="false">IF(N65&lt;=12,N65*P65,O65)</f>
        <v>1524.41666666667</v>
      </c>
      <c r="S65" s="4" t="s">
        <v>27</v>
      </c>
    </row>
    <row r="66" customFormat="false" ht="15" hidden="false" customHeight="false" outlineLevel="0" collapsed="false">
      <c r="A66" s="4" t="s">
        <v>28</v>
      </c>
      <c r="B66" s="4" t="s">
        <v>252</v>
      </c>
      <c r="C66" s="4" t="s">
        <v>253</v>
      </c>
      <c r="D66" s="11" t="s">
        <v>254</v>
      </c>
      <c r="E66" s="5" t="n">
        <f aca="false">DATEVALUE(LEFT(D66,10))</f>
        <v>44855</v>
      </c>
      <c r="F66" s="4" t="s">
        <v>255</v>
      </c>
      <c r="G66" s="4" t="s">
        <v>53</v>
      </c>
      <c r="H66" s="4" t="s">
        <v>24</v>
      </c>
      <c r="I66" s="4" t="s">
        <v>37</v>
      </c>
      <c r="J66" s="4" t="s">
        <v>38</v>
      </c>
      <c r="K66" s="7" t="n">
        <v>45944</v>
      </c>
      <c r="L66" s="7" t="n">
        <v>46309</v>
      </c>
      <c r="M66" s="8" t="n">
        <f aca="false">DATEDIF(K66,L66,"m")</f>
        <v>12</v>
      </c>
      <c r="N66" s="8" t="n">
        <f aca="false">DATEDIF(E66,L66,"m")</f>
        <v>47</v>
      </c>
      <c r="O66" s="12" t="n">
        <v>298.8</v>
      </c>
      <c r="P66" s="9" t="n">
        <f aca="false">O66/M66</f>
        <v>24.9</v>
      </c>
      <c r="Q66" s="4" t="n">
        <v>1</v>
      </c>
      <c r="R66" s="10" t="n">
        <f aca="false">IF(N66&lt;=12,N66*P66,O66)</f>
        <v>298.8</v>
      </c>
      <c r="S66" s="4" t="s">
        <v>27</v>
      </c>
    </row>
    <row r="67" customFormat="false" ht="15" hidden="false" customHeight="false" outlineLevel="0" collapsed="false">
      <c r="A67" s="4" t="s">
        <v>98</v>
      </c>
      <c r="B67" s="4" t="s">
        <v>256</v>
      </c>
      <c r="C67" s="4" t="s">
        <v>257</v>
      </c>
      <c r="D67" s="4" t="s">
        <v>258</v>
      </c>
      <c r="E67" s="5" t="n">
        <f aca="false">DATEVALUE(LEFT(D67,10))</f>
        <v>44999</v>
      </c>
      <c r="F67" s="4" t="s">
        <v>259</v>
      </c>
      <c r="G67" s="15" t="s">
        <v>260</v>
      </c>
      <c r="H67" s="4" t="s">
        <v>104</v>
      </c>
      <c r="I67" s="4" t="s">
        <v>25</v>
      </c>
      <c r="J67" s="4" t="s">
        <v>38</v>
      </c>
      <c r="K67" s="7" t="n">
        <v>45839</v>
      </c>
      <c r="L67" s="7" t="n">
        <v>46204</v>
      </c>
      <c r="M67" s="8" t="n">
        <f aca="false">DATEDIF(K67,L67,"m")</f>
        <v>12</v>
      </c>
      <c r="N67" s="8" t="n">
        <f aca="false">DATEDIF(E67,L67,"m")</f>
        <v>39</v>
      </c>
      <c r="O67" s="9" t="n">
        <v>1498.8</v>
      </c>
      <c r="P67" s="9" t="n">
        <f aca="false">O67/M67</f>
        <v>124.9</v>
      </c>
      <c r="Q67" s="4" t="n">
        <v>1</v>
      </c>
      <c r="R67" s="10" t="n">
        <f aca="false">IF(N67&lt;=12,N67*P67,O67)</f>
        <v>1498.8</v>
      </c>
      <c r="S67" s="4" t="s">
        <v>27</v>
      </c>
    </row>
    <row r="68" customFormat="false" ht="15" hidden="false" customHeight="false" outlineLevel="0" collapsed="false">
      <c r="A68" s="4" t="s">
        <v>28</v>
      </c>
      <c r="B68" s="4" t="s">
        <v>261</v>
      </c>
      <c r="C68" s="4" t="s">
        <v>262</v>
      </c>
      <c r="D68" s="11" t="s">
        <v>263</v>
      </c>
      <c r="E68" s="5" t="n">
        <f aca="false">DATEVALUE(LEFT(D68,10))</f>
        <v>44855</v>
      </c>
      <c r="F68" s="4" t="s">
        <v>264</v>
      </c>
      <c r="G68" s="15" t="s">
        <v>265</v>
      </c>
      <c r="H68" s="4" t="s">
        <v>24</v>
      </c>
      <c r="I68" s="4" t="s">
        <v>25</v>
      </c>
      <c r="J68" s="4" t="s">
        <v>26</v>
      </c>
      <c r="K68" s="7" t="n">
        <v>45777</v>
      </c>
      <c r="L68" s="7" t="n">
        <v>46142</v>
      </c>
      <c r="M68" s="8" t="n">
        <f aca="false">DATEDIF(K68,L68,"m")</f>
        <v>12</v>
      </c>
      <c r="N68" s="8" t="n">
        <f aca="false">DATEDIF(E68,L68,"m")</f>
        <v>42</v>
      </c>
      <c r="O68" s="12" t="n">
        <v>1663</v>
      </c>
      <c r="P68" s="12" t="n">
        <f aca="false">O68/12</f>
        <v>138.583333333333</v>
      </c>
      <c r="Q68" s="4" t="n">
        <v>1</v>
      </c>
      <c r="R68" s="10" t="n">
        <f aca="false">IF(N68&lt;=12,N68*P68,O68)</f>
        <v>1663</v>
      </c>
      <c r="S68" s="4" t="s">
        <v>27</v>
      </c>
    </row>
    <row r="69" customFormat="false" ht="15" hidden="false" customHeight="false" outlineLevel="0" collapsed="false">
      <c r="A69" s="4" t="s">
        <v>28</v>
      </c>
      <c r="B69" s="4" t="s">
        <v>266</v>
      </c>
      <c r="C69" s="4" t="s">
        <v>267</v>
      </c>
      <c r="D69" s="11" t="s">
        <v>268</v>
      </c>
      <c r="E69" s="5" t="n">
        <f aca="false">DATEVALUE(LEFT(D69,10))</f>
        <v>45898</v>
      </c>
      <c r="F69" s="4" t="s">
        <v>97</v>
      </c>
      <c r="G69" s="4" t="s">
        <v>53</v>
      </c>
      <c r="H69" s="4" t="s">
        <v>24</v>
      </c>
      <c r="I69" s="4" t="s">
        <v>25</v>
      </c>
      <c r="J69" s="4" t="s">
        <v>26</v>
      </c>
      <c r="K69" s="7" t="n">
        <v>45777</v>
      </c>
      <c r="L69" s="7" t="n">
        <v>46142</v>
      </c>
      <c r="M69" s="8" t="n">
        <f aca="false">DATEDIF(K69,L69,"m")</f>
        <v>12</v>
      </c>
      <c r="N69" s="8" t="n">
        <f aca="false">DATEDIF(E69,L69,"m")</f>
        <v>8</v>
      </c>
      <c r="O69" s="12" t="n">
        <v>1663</v>
      </c>
      <c r="P69" s="12" t="n">
        <f aca="false">O69/12</f>
        <v>138.583333333333</v>
      </c>
      <c r="Q69" s="4" t="n">
        <v>1</v>
      </c>
      <c r="R69" s="10" t="n">
        <f aca="false">IF(N69&lt;=12,N69*P69,O69)</f>
        <v>1108.66666666667</v>
      </c>
      <c r="S69" s="4" t="s">
        <v>27</v>
      </c>
    </row>
    <row r="70" customFormat="false" ht="15" hidden="false" customHeight="false" outlineLevel="0" collapsed="false">
      <c r="A70" s="4" t="s">
        <v>28</v>
      </c>
      <c r="B70" s="4" t="s">
        <v>269</v>
      </c>
      <c r="C70" s="4" t="s">
        <v>270</v>
      </c>
      <c r="D70" s="11" t="s">
        <v>271</v>
      </c>
      <c r="E70" s="5" t="n">
        <f aca="false">DATEVALUE(LEFT(D70,10))</f>
        <v>44855</v>
      </c>
      <c r="F70" s="4" t="s">
        <v>52</v>
      </c>
      <c r="G70" s="15" t="s">
        <v>272</v>
      </c>
      <c r="H70" s="4" t="s">
        <v>24</v>
      </c>
      <c r="I70" s="4" t="s">
        <v>37</v>
      </c>
      <c r="J70" s="4" t="s">
        <v>38</v>
      </c>
      <c r="K70" s="7" t="n">
        <v>45944</v>
      </c>
      <c r="L70" s="7" t="n">
        <v>46309</v>
      </c>
      <c r="M70" s="8" t="n">
        <f aca="false">DATEDIF(K70,L70,"m")</f>
        <v>12</v>
      </c>
      <c r="N70" s="8" t="n">
        <f aca="false">DATEDIF(E70,L70,"m")</f>
        <v>47</v>
      </c>
      <c r="O70" s="12" t="n">
        <v>298.8</v>
      </c>
      <c r="P70" s="9" t="n">
        <f aca="false">O70/M70</f>
        <v>24.9</v>
      </c>
      <c r="Q70" s="4" t="n">
        <v>1</v>
      </c>
      <c r="R70" s="10" t="n">
        <f aca="false">IF(N70&lt;=12,N70*P70,O70)</f>
        <v>298.8</v>
      </c>
      <c r="S70" s="4" t="s">
        <v>27</v>
      </c>
    </row>
    <row r="71" customFormat="false" ht="15" hidden="false" customHeight="false" outlineLevel="0" collapsed="false">
      <c r="A71" s="4" t="s">
        <v>28</v>
      </c>
      <c r="B71" s="4" t="s">
        <v>273</v>
      </c>
      <c r="C71" s="4" t="s">
        <v>274</v>
      </c>
      <c r="D71" s="4" t="s">
        <v>275</v>
      </c>
      <c r="E71" s="5" t="n">
        <f aca="false">DATEVALUE(LEFT(D71,10))</f>
        <v>45846</v>
      </c>
      <c r="F71" s="4" t="s">
        <v>181</v>
      </c>
      <c r="G71" s="15" t="s">
        <v>276</v>
      </c>
      <c r="H71" s="4" t="s">
        <v>24</v>
      </c>
      <c r="I71" s="4" t="s">
        <v>277</v>
      </c>
      <c r="J71" s="4" t="s">
        <v>26</v>
      </c>
      <c r="K71" s="7" t="n">
        <v>45777</v>
      </c>
      <c r="L71" s="7" t="n">
        <v>46142</v>
      </c>
      <c r="M71" s="8" t="n">
        <f aca="false">DATEDIF(K71,L71,"m")</f>
        <v>12</v>
      </c>
      <c r="N71" s="8" t="n">
        <f aca="false">DATEDIF(E71,L71,"m")</f>
        <v>9</v>
      </c>
      <c r="O71" s="9" t="n">
        <v>1498</v>
      </c>
      <c r="P71" s="12" t="n">
        <f aca="false">O71/12</f>
        <v>124.833333333333</v>
      </c>
      <c r="Q71" s="4" t="n">
        <v>1</v>
      </c>
      <c r="R71" s="10" t="n">
        <f aca="false">IF(N71&lt;=12,N71*P71,O71)</f>
        <v>1123.5</v>
      </c>
      <c r="S71" s="4" t="s">
        <v>27</v>
      </c>
    </row>
    <row r="72" customFormat="false" ht="15" hidden="false" customHeight="false" outlineLevel="0" collapsed="false">
      <c r="A72" s="4" t="s">
        <v>19</v>
      </c>
      <c r="B72" s="4" t="s">
        <v>278</v>
      </c>
      <c r="C72" s="4" t="s">
        <v>279</v>
      </c>
      <c r="D72" s="4" t="s">
        <v>280</v>
      </c>
      <c r="E72" s="5" t="n">
        <f aca="false">DATEVALUE(LEFT(D72,10))</f>
        <v>45699</v>
      </c>
      <c r="F72" s="4" t="s">
        <v>23</v>
      </c>
      <c r="G72" s="4" t="s">
        <v>23</v>
      </c>
      <c r="H72" s="6" t="s">
        <v>24</v>
      </c>
      <c r="I72" s="4" t="s">
        <v>25</v>
      </c>
      <c r="J72" s="4" t="s">
        <v>26</v>
      </c>
      <c r="K72" s="7" t="n">
        <v>45814</v>
      </c>
      <c r="L72" s="7" t="n">
        <v>46180</v>
      </c>
      <c r="M72" s="8" t="n">
        <f aca="false">DATEDIF(K72,L72,"m")</f>
        <v>12</v>
      </c>
      <c r="N72" s="8" t="n">
        <f aca="false">DATEDIF(E72,L72,"m")</f>
        <v>15</v>
      </c>
      <c r="O72" s="9" t="n">
        <v>1794.5</v>
      </c>
      <c r="P72" s="9" t="n">
        <f aca="false">O72/M72</f>
        <v>149.541666666667</v>
      </c>
      <c r="Q72" s="4" t="n">
        <v>1</v>
      </c>
      <c r="R72" s="10" t="n">
        <f aca="false">IF(N72&lt;=12,N72*P72,O72)</f>
        <v>1794.5</v>
      </c>
      <c r="S72" s="4" t="s">
        <v>27</v>
      </c>
    </row>
    <row r="73" customFormat="false" ht="15" hidden="false" customHeight="false" outlineLevel="0" collapsed="false">
      <c r="A73" s="4" t="s">
        <v>146</v>
      </c>
      <c r="B73" s="4" t="s">
        <v>281</v>
      </c>
      <c r="C73" s="4" t="s">
        <v>282</v>
      </c>
      <c r="D73" s="4" t="s">
        <v>283</v>
      </c>
      <c r="E73" s="5" t="n">
        <f aca="false">DATEVALUE(LEFT(D73,10))</f>
        <v>45826</v>
      </c>
      <c r="F73" s="4" t="s">
        <v>149</v>
      </c>
      <c r="G73" s="4" t="s">
        <v>149</v>
      </c>
      <c r="H73" s="4" t="s">
        <v>24</v>
      </c>
      <c r="I73" s="4" t="s">
        <v>37</v>
      </c>
      <c r="J73" s="4" t="s">
        <v>38</v>
      </c>
      <c r="K73" s="7" t="n">
        <v>45814</v>
      </c>
      <c r="L73" s="7" t="n">
        <v>46179</v>
      </c>
      <c r="M73" s="8" t="n">
        <f aca="false">DATEDIF(K73,L73,"m")</f>
        <v>12</v>
      </c>
      <c r="N73" s="8" t="n">
        <f aca="false">DATEDIF(E73,L73,"m")</f>
        <v>11</v>
      </c>
      <c r="O73" s="9" t="n">
        <v>354.6</v>
      </c>
      <c r="P73" s="9" t="n">
        <f aca="false">O73/M73</f>
        <v>29.55</v>
      </c>
      <c r="Q73" s="4" t="n">
        <v>1</v>
      </c>
      <c r="R73" s="10" t="n">
        <f aca="false">IF(N73&lt;=12,N73*P73,O73)</f>
        <v>325.05</v>
      </c>
      <c r="S73" s="4" t="s">
        <v>27</v>
      </c>
    </row>
    <row r="74" customFormat="false" ht="15" hidden="false" customHeight="false" outlineLevel="0" collapsed="false">
      <c r="A74" s="4" t="s">
        <v>28</v>
      </c>
      <c r="B74" s="4" t="s">
        <v>284</v>
      </c>
      <c r="C74" s="4" t="s">
        <v>285</v>
      </c>
      <c r="D74" s="11" t="s">
        <v>286</v>
      </c>
      <c r="E74" s="5" t="n">
        <f aca="false">DATEVALUE(LEFT(D74,10))</f>
        <v>45587</v>
      </c>
      <c r="F74" s="4" t="s">
        <v>52</v>
      </c>
      <c r="G74" s="15" t="s">
        <v>272</v>
      </c>
      <c r="H74" s="4" t="s">
        <v>24</v>
      </c>
      <c r="I74" s="4" t="s">
        <v>25</v>
      </c>
      <c r="J74" s="4" t="s">
        <v>26</v>
      </c>
      <c r="K74" s="7" t="n">
        <v>45777</v>
      </c>
      <c r="L74" s="7" t="n">
        <v>46142</v>
      </c>
      <c r="M74" s="8" t="n">
        <f aca="false">DATEDIF(K74,L74,"m")</f>
        <v>12</v>
      </c>
      <c r="N74" s="8" t="n">
        <f aca="false">DATEDIF(E74,L74,"m")</f>
        <v>18</v>
      </c>
      <c r="O74" s="12" t="n">
        <v>1663</v>
      </c>
      <c r="P74" s="12" t="n">
        <f aca="false">O74/12</f>
        <v>138.583333333333</v>
      </c>
      <c r="Q74" s="4" t="n">
        <v>1</v>
      </c>
      <c r="R74" s="10" t="n">
        <f aca="false">IF(N74&lt;=12,N74*P74,O74)</f>
        <v>1663</v>
      </c>
      <c r="S74" s="4" t="s">
        <v>27</v>
      </c>
    </row>
    <row r="75" customFormat="false" ht="15" hidden="false" customHeight="false" outlineLevel="0" collapsed="false">
      <c r="A75" s="4" t="s">
        <v>98</v>
      </c>
      <c r="B75" s="4" t="s">
        <v>287</v>
      </c>
      <c r="C75" s="4" t="s">
        <v>288</v>
      </c>
      <c r="D75" s="4" t="s">
        <v>289</v>
      </c>
      <c r="E75" s="5" t="n">
        <f aca="false">DATEVALUE(LEFT(D75,10))</f>
        <v>45391</v>
      </c>
      <c r="F75" s="4" t="s">
        <v>290</v>
      </c>
      <c r="G75" s="15" t="s">
        <v>177</v>
      </c>
      <c r="H75" s="4" t="s">
        <v>104</v>
      </c>
      <c r="I75" s="4" t="s">
        <v>37</v>
      </c>
      <c r="J75" s="4" t="s">
        <v>38</v>
      </c>
      <c r="K75" s="7" t="n">
        <v>45839</v>
      </c>
      <c r="L75" s="7" t="n">
        <v>46204</v>
      </c>
      <c r="M75" s="8" t="n">
        <f aca="false">DATEDIF(K75,L75,"m")</f>
        <v>12</v>
      </c>
      <c r="N75" s="8" t="n">
        <f aca="false">DATEDIF(E75,L75,"m")</f>
        <v>26</v>
      </c>
      <c r="O75" s="9" t="n">
        <v>298.8</v>
      </c>
      <c r="P75" s="9" t="n">
        <f aca="false">O75/M75</f>
        <v>24.9</v>
      </c>
      <c r="Q75" s="4" t="n">
        <v>1</v>
      </c>
      <c r="R75" s="10" t="n">
        <f aca="false">IF(N75&lt;=12,N75*P75,O75)</f>
        <v>298.8</v>
      </c>
      <c r="S75" s="4" t="s">
        <v>27</v>
      </c>
    </row>
    <row r="76" customFormat="false" ht="15" hidden="false" customHeight="false" outlineLevel="0" collapsed="false">
      <c r="A76" s="4" t="s">
        <v>28</v>
      </c>
      <c r="B76" s="4" t="s">
        <v>291</v>
      </c>
      <c r="C76" s="4" t="s">
        <v>292</v>
      </c>
      <c r="D76" s="11" t="s">
        <v>293</v>
      </c>
      <c r="E76" s="5" t="n">
        <f aca="false">DATEVALUE(LEFT(D76,10))</f>
        <v>45811</v>
      </c>
      <c r="F76" s="4" t="s">
        <v>294</v>
      </c>
      <c r="G76" s="15" t="s">
        <v>69</v>
      </c>
      <c r="H76" s="4" t="s">
        <v>24</v>
      </c>
      <c r="I76" s="4" t="s">
        <v>25</v>
      </c>
      <c r="J76" s="4" t="s">
        <v>26</v>
      </c>
      <c r="K76" s="7" t="n">
        <v>45777</v>
      </c>
      <c r="L76" s="7" t="n">
        <v>46142</v>
      </c>
      <c r="M76" s="8" t="n">
        <f aca="false">DATEDIF(K76,L76,"m")</f>
        <v>12</v>
      </c>
      <c r="N76" s="8" t="n">
        <f aca="false">DATEDIF(E76,L76,"m")</f>
        <v>10</v>
      </c>
      <c r="O76" s="12" t="n">
        <v>1663</v>
      </c>
      <c r="P76" s="12" t="n">
        <f aca="false">O76/12</f>
        <v>138.583333333333</v>
      </c>
      <c r="Q76" s="4" t="n">
        <v>1</v>
      </c>
      <c r="R76" s="10" t="n">
        <f aca="false">IF(N76&lt;=12,N76*P76,O76)</f>
        <v>1385.83333333333</v>
      </c>
      <c r="S76" s="4" t="s">
        <v>27</v>
      </c>
    </row>
    <row r="77" customFormat="false" ht="15" hidden="false" customHeight="false" outlineLevel="0" collapsed="false">
      <c r="A77" s="4" t="s">
        <v>28</v>
      </c>
      <c r="B77" s="4" t="s">
        <v>295</v>
      </c>
      <c r="C77" s="4" t="s">
        <v>296</v>
      </c>
      <c r="D77" s="11" t="s">
        <v>297</v>
      </c>
      <c r="E77" s="5" t="n">
        <f aca="false">DATEVALUE(LEFT(D77,10))</f>
        <v>45306</v>
      </c>
      <c r="F77" s="4" t="s">
        <v>141</v>
      </c>
      <c r="G77" s="15" t="s">
        <v>142</v>
      </c>
      <c r="H77" s="4" t="s">
        <v>24</v>
      </c>
      <c r="I77" s="4" t="s">
        <v>25</v>
      </c>
      <c r="J77" s="4" t="s">
        <v>26</v>
      </c>
      <c r="K77" s="7" t="n">
        <v>45777</v>
      </c>
      <c r="L77" s="7" t="n">
        <v>46142</v>
      </c>
      <c r="M77" s="8" t="n">
        <f aca="false">DATEDIF(K77,L77,"m")</f>
        <v>12</v>
      </c>
      <c r="N77" s="8" t="n">
        <f aca="false">DATEDIF(E77,L77,"m")</f>
        <v>27</v>
      </c>
      <c r="O77" s="12" t="n">
        <v>1663</v>
      </c>
      <c r="P77" s="12" t="n">
        <f aca="false">O77/12</f>
        <v>138.583333333333</v>
      </c>
      <c r="Q77" s="4" t="n">
        <v>1</v>
      </c>
      <c r="R77" s="10" t="n">
        <f aca="false">IF(N77&lt;=12,N77*P77,O77)</f>
        <v>1663</v>
      </c>
      <c r="S77" s="4" t="s">
        <v>27</v>
      </c>
    </row>
    <row r="78" customFormat="false" ht="15" hidden="false" customHeight="false" outlineLevel="0" collapsed="false">
      <c r="A78" s="4" t="s">
        <v>28</v>
      </c>
      <c r="B78" s="4" t="s">
        <v>298</v>
      </c>
      <c r="C78" s="4" t="s">
        <v>299</v>
      </c>
      <c r="D78" s="11" t="s">
        <v>300</v>
      </c>
      <c r="E78" s="5" t="n">
        <f aca="false">DATEVALUE(LEFT(D78,10))</f>
        <v>44855</v>
      </c>
      <c r="F78" s="4" t="s">
        <v>42</v>
      </c>
      <c r="G78" s="15" t="s">
        <v>301</v>
      </c>
      <c r="H78" s="4" t="s">
        <v>24</v>
      </c>
      <c r="I78" s="4" t="s">
        <v>25</v>
      </c>
      <c r="J78" s="4" t="s">
        <v>26</v>
      </c>
      <c r="K78" s="7" t="n">
        <v>45777</v>
      </c>
      <c r="L78" s="7" t="n">
        <v>46142</v>
      </c>
      <c r="M78" s="8" t="n">
        <f aca="false">DATEDIF(K78,L78,"m")</f>
        <v>12</v>
      </c>
      <c r="N78" s="8" t="n">
        <f aca="false">DATEDIF(E78,L78,"m")</f>
        <v>42</v>
      </c>
      <c r="O78" s="12" t="n">
        <v>1663</v>
      </c>
      <c r="P78" s="12" t="n">
        <f aca="false">O78/12</f>
        <v>138.583333333333</v>
      </c>
      <c r="Q78" s="4" t="n">
        <v>1</v>
      </c>
      <c r="R78" s="10" t="n">
        <f aca="false">IF(N78&lt;=12,N78*P78,O78)</f>
        <v>1663</v>
      </c>
      <c r="S78" s="4" t="s">
        <v>27</v>
      </c>
    </row>
    <row r="79" customFormat="false" ht="15" hidden="false" customHeight="false" outlineLevel="0" collapsed="false">
      <c r="A79" s="4" t="s">
        <v>28</v>
      </c>
      <c r="B79" s="4" t="s">
        <v>302</v>
      </c>
      <c r="C79" s="4" t="s">
        <v>303</v>
      </c>
      <c r="D79" s="11" t="s">
        <v>304</v>
      </c>
      <c r="E79" s="5" t="n">
        <f aca="false">DATEVALUE(LEFT(D79,10))</f>
        <v>44855</v>
      </c>
      <c r="F79" s="4" t="s">
        <v>305</v>
      </c>
      <c r="G79" s="4" t="s">
        <v>123</v>
      </c>
      <c r="H79" s="4" t="s">
        <v>24</v>
      </c>
      <c r="I79" s="4" t="s">
        <v>25</v>
      </c>
      <c r="J79" s="4" t="s">
        <v>26</v>
      </c>
      <c r="K79" s="7" t="n">
        <v>45777</v>
      </c>
      <c r="L79" s="7" t="n">
        <v>46142</v>
      </c>
      <c r="M79" s="8" t="n">
        <f aca="false">DATEDIF(K79,L79,"m")</f>
        <v>12</v>
      </c>
      <c r="N79" s="8" t="n">
        <f aca="false">DATEDIF(E79,L79,"m")</f>
        <v>42</v>
      </c>
      <c r="O79" s="12" t="n">
        <v>1663</v>
      </c>
      <c r="P79" s="12" t="n">
        <f aca="false">O79/12</f>
        <v>138.583333333333</v>
      </c>
      <c r="Q79" s="4" t="n">
        <v>1</v>
      </c>
      <c r="R79" s="10" t="n">
        <f aca="false">IF(N79&lt;=12,N79*P79,O79)</f>
        <v>1663</v>
      </c>
      <c r="S79" s="4" t="s">
        <v>27</v>
      </c>
    </row>
    <row r="80" customFormat="false" ht="15" hidden="false" customHeight="false" outlineLevel="0" collapsed="false">
      <c r="A80" s="4" t="s">
        <v>28</v>
      </c>
      <c r="B80" s="4" t="s">
        <v>306</v>
      </c>
      <c r="C80" s="4" t="s">
        <v>307</v>
      </c>
      <c r="D80" s="11" t="s">
        <v>308</v>
      </c>
      <c r="E80" s="5" t="n">
        <f aca="false">DATEVALUE(LEFT(D80,10))</f>
        <v>45112</v>
      </c>
      <c r="F80" s="4" t="s">
        <v>186</v>
      </c>
      <c r="G80" s="15" t="s">
        <v>209</v>
      </c>
      <c r="H80" s="4" t="s">
        <v>24</v>
      </c>
      <c r="I80" s="4" t="s">
        <v>37</v>
      </c>
      <c r="J80" s="4" t="s">
        <v>38</v>
      </c>
      <c r="K80" s="7" t="n">
        <v>45944</v>
      </c>
      <c r="L80" s="7" t="n">
        <v>46309</v>
      </c>
      <c r="M80" s="8" t="n">
        <f aca="false">DATEDIF(K80,L80,"m")</f>
        <v>12</v>
      </c>
      <c r="N80" s="8" t="n">
        <f aca="false">DATEDIF(E80,L80,"m")</f>
        <v>39</v>
      </c>
      <c r="O80" s="12" t="n">
        <v>298.8</v>
      </c>
      <c r="P80" s="9" t="n">
        <f aca="false">O80/M80</f>
        <v>24.9</v>
      </c>
      <c r="Q80" s="4" t="n">
        <v>1</v>
      </c>
      <c r="R80" s="10" t="n">
        <f aca="false">IF(N80&lt;=12,N80*P80,O80)</f>
        <v>298.8</v>
      </c>
      <c r="S80" s="4" t="s">
        <v>27</v>
      </c>
    </row>
    <row r="81" customFormat="false" ht="15" hidden="false" customHeight="false" outlineLevel="0" collapsed="false">
      <c r="A81" s="4" t="s">
        <v>28</v>
      </c>
      <c r="B81" s="4" t="s">
        <v>309</v>
      </c>
      <c r="C81" s="4" t="s">
        <v>310</v>
      </c>
      <c r="D81" s="11" t="s">
        <v>311</v>
      </c>
      <c r="E81" s="5" t="n">
        <f aca="false">DATEVALUE(LEFT(D81,10))</f>
        <v>45712</v>
      </c>
      <c r="F81" s="4" t="s">
        <v>312</v>
      </c>
      <c r="G81" s="15" t="s">
        <v>313</v>
      </c>
      <c r="H81" s="4" t="s">
        <v>24</v>
      </c>
      <c r="I81" s="4" t="s">
        <v>37</v>
      </c>
      <c r="J81" s="4" t="s">
        <v>38</v>
      </c>
      <c r="K81" s="7" t="n">
        <v>45944</v>
      </c>
      <c r="L81" s="7" t="n">
        <v>46309</v>
      </c>
      <c r="M81" s="8" t="n">
        <f aca="false">DATEDIF(K81,L81,"m")</f>
        <v>12</v>
      </c>
      <c r="N81" s="8" t="n">
        <f aca="false">DATEDIF(E81,L81,"m")</f>
        <v>19</v>
      </c>
      <c r="O81" s="12" t="n">
        <v>298.8</v>
      </c>
      <c r="P81" s="9" t="n">
        <f aca="false">O81/M81</f>
        <v>24.9</v>
      </c>
      <c r="Q81" s="4" t="n">
        <v>1</v>
      </c>
      <c r="R81" s="10" t="n">
        <f aca="false">IF(N81&lt;=12,N81*P81,O81)</f>
        <v>298.8</v>
      </c>
      <c r="S81" s="4" t="s">
        <v>27</v>
      </c>
    </row>
    <row r="82" customFormat="false" ht="15" hidden="false" customHeight="false" outlineLevel="0" collapsed="false">
      <c r="A82" s="4" t="s">
        <v>28</v>
      </c>
      <c r="B82" s="4" t="s">
        <v>314</v>
      </c>
      <c r="C82" s="4" t="s">
        <v>315</v>
      </c>
      <c r="D82" s="11" t="s">
        <v>316</v>
      </c>
      <c r="E82" s="5" t="n">
        <f aca="false">DATEVALUE(LEFT(D82,10))</f>
        <v>44855</v>
      </c>
      <c r="F82" s="4" t="s">
        <v>141</v>
      </c>
      <c r="G82" s="15" t="s">
        <v>142</v>
      </c>
      <c r="H82" s="4" t="s">
        <v>24</v>
      </c>
      <c r="I82" s="4" t="s">
        <v>25</v>
      </c>
      <c r="J82" s="4" t="s">
        <v>26</v>
      </c>
      <c r="K82" s="7" t="n">
        <v>45777</v>
      </c>
      <c r="L82" s="7" t="n">
        <v>46142</v>
      </c>
      <c r="M82" s="8" t="n">
        <f aca="false">DATEDIF(K82,L82,"m")</f>
        <v>12</v>
      </c>
      <c r="N82" s="8" t="n">
        <f aca="false">DATEDIF(E82,L82,"m")</f>
        <v>42</v>
      </c>
      <c r="O82" s="12" t="n">
        <v>1663</v>
      </c>
      <c r="P82" s="12" t="n">
        <f aca="false">O82/12</f>
        <v>138.583333333333</v>
      </c>
      <c r="Q82" s="4" t="n">
        <v>1</v>
      </c>
      <c r="R82" s="10" t="n">
        <f aca="false">IF(N82&lt;=12,N82*P82,O82)</f>
        <v>1663</v>
      </c>
      <c r="S82" s="4" t="s">
        <v>27</v>
      </c>
    </row>
    <row r="83" customFormat="false" ht="15" hidden="false" customHeight="false" outlineLevel="0" collapsed="false">
      <c r="A83" s="4" t="s">
        <v>28</v>
      </c>
      <c r="B83" s="4" t="s">
        <v>317</v>
      </c>
      <c r="C83" s="4" t="s">
        <v>318</v>
      </c>
      <c r="D83" s="11" t="s">
        <v>319</v>
      </c>
      <c r="E83" s="5" t="n">
        <f aca="false">DATEVALUE(LEFT(D83,10))</f>
        <v>44855</v>
      </c>
      <c r="F83" s="4" t="s">
        <v>42</v>
      </c>
      <c r="G83" s="15" t="s">
        <v>238</v>
      </c>
      <c r="H83" s="4" t="s">
        <v>24</v>
      </c>
      <c r="I83" s="4" t="s">
        <v>25</v>
      </c>
      <c r="J83" s="4" t="s">
        <v>26</v>
      </c>
      <c r="K83" s="7" t="n">
        <v>45777</v>
      </c>
      <c r="L83" s="7" t="n">
        <v>46142</v>
      </c>
      <c r="M83" s="8" t="n">
        <f aca="false">DATEDIF(K83,L83,"m")</f>
        <v>12</v>
      </c>
      <c r="N83" s="8" t="n">
        <f aca="false">DATEDIF(E83,L83,"m")</f>
        <v>42</v>
      </c>
      <c r="O83" s="12" t="n">
        <v>1663</v>
      </c>
      <c r="P83" s="12" t="n">
        <f aca="false">O83/12</f>
        <v>138.583333333333</v>
      </c>
      <c r="Q83" s="4" t="n">
        <v>1</v>
      </c>
      <c r="R83" s="10" t="n">
        <f aca="false">IF(N83&lt;=12,N83*P83,O83)</f>
        <v>1663</v>
      </c>
      <c r="S83" s="4" t="s">
        <v>27</v>
      </c>
    </row>
    <row r="84" customFormat="false" ht="15" hidden="false" customHeight="false" outlineLevel="0" collapsed="false">
      <c r="A84" s="4" t="s">
        <v>28</v>
      </c>
      <c r="B84" s="4" t="s">
        <v>320</v>
      </c>
      <c r="C84" s="4" t="s">
        <v>321</v>
      </c>
      <c r="D84" s="11" t="s">
        <v>322</v>
      </c>
      <c r="E84" s="5" t="n">
        <f aca="false">DATEVALUE(LEFT(D84,10))</f>
        <v>45357</v>
      </c>
      <c r="F84" s="4" t="s">
        <v>323</v>
      </c>
      <c r="G84" s="4" t="s">
        <v>324</v>
      </c>
      <c r="H84" s="4" t="s">
        <v>24</v>
      </c>
      <c r="I84" s="4" t="s">
        <v>37</v>
      </c>
      <c r="J84" s="4" t="s">
        <v>38</v>
      </c>
      <c r="K84" s="7" t="n">
        <v>45944</v>
      </c>
      <c r="L84" s="7" t="n">
        <v>46309</v>
      </c>
      <c r="M84" s="8" t="n">
        <f aca="false">DATEDIF(K84,L84,"m")</f>
        <v>12</v>
      </c>
      <c r="N84" s="8" t="n">
        <f aca="false">DATEDIF(E84,L84,"m")</f>
        <v>31</v>
      </c>
      <c r="O84" s="12" t="n">
        <v>298.8</v>
      </c>
      <c r="P84" s="9" t="n">
        <f aca="false">O84/M84</f>
        <v>24.9</v>
      </c>
      <c r="Q84" s="4" t="n">
        <v>1</v>
      </c>
      <c r="R84" s="10" t="n">
        <f aca="false">IF(N84&lt;=12,N84*P84,O84)</f>
        <v>298.8</v>
      </c>
      <c r="S84" s="4" t="s">
        <v>27</v>
      </c>
    </row>
    <row r="85" customFormat="false" ht="15" hidden="false" customHeight="false" outlineLevel="0" collapsed="false">
      <c r="A85" s="4" t="s">
        <v>28</v>
      </c>
      <c r="B85" s="4" t="s">
        <v>325</v>
      </c>
      <c r="C85" s="4" t="s">
        <v>326</v>
      </c>
      <c r="D85" s="11" t="s">
        <v>327</v>
      </c>
      <c r="E85" s="5" t="n">
        <f aca="false">DATEVALUE(LEFT(D85,10))</f>
        <v>45201</v>
      </c>
      <c r="F85" s="4" t="s">
        <v>91</v>
      </c>
      <c r="G85" s="15" t="s">
        <v>92</v>
      </c>
      <c r="H85" s="4" t="s">
        <v>24</v>
      </c>
      <c r="I85" s="4" t="s">
        <v>25</v>
      </c>
      <c r="J85" s="4" t="s">
        <v>26</v>
      </c>
      <c r="K85" s="7" t="n">
        <v>45777</v>
      </c>
      <c r="L85" s="7" t="n">
        <v>46142</v>
      </c>
      <c r="M85" s="8" t="n">
        <f aca="false">DATEDIF(K85,L85,"m")</f>
        <v>12</v>
      </c>
      <c r="N85" s="8" t="n">
        <f aca="false">DATEDIF(E85,L85,"m")</f>
        <v>30</v>
      </c>
      <c r="O85" s="12" t="n">
        <v>1663</v>
      </c>
      <c r="P85" s="12" t="n">
        <f aca="false">O85/12</f>
        <v>138.583333333333</v>
      </c>
      <c r="Q85" s="4" t="n">
        <v>1</v>
      </c>
      <c r="R85" s="10" t="n">
        <f aca="false">IF(N85&lt;=12,N85*P85,O85)</f>
        <v>1663</v>
      </c>
      <c r="S85" s="4" t="s">
        <v>27</v>
      </c>
    </row>
    <row r="86" customFormat="false" ht="15" hidden="false" customHeight="false" outlineLevel="0" collapsed="false">
      <c r="A86" s="4" t="s">
        <v>28</v>
      </c>
      <c r="B86" s="4" t="s">
        <v>328</v>
      </c>
      <c r="C86" s="4" t="s">
        <v>329</v>
      </c>
      <c r="D86" s="11" t="s">
        <v>330</v>
      </c>
      <c r="E86" s="5" t="n">
        <f aca="false">DATEVALUE(LEFT(D86,10))</f>
        <v>45218</v>
      </c>
      <c r="F86" s="4" t="s">
        <v>42</v>
      </c>
      <c r="G86" s="15" t="s">
        <v>177</v>
      </c>
      <c r="H86" s="4" t="s">
        <v>24</v>
      </c>
      <c r="I86" s="4" t="s">
        <v>25</v>
      </c>
      <c r="J86" s="4" t="s">
        <v>26</v>
      </c>
      <c r="K86" s="7" t="n">
        <v>45777</v>
      </c>
      <c r="L86" s="7" t="n">
        <v>46142</v>
      </c>
      <c r="M86" s="8" t="n">
        <f aca="false">DATEDIF(K86,L86,"m")</f>
        <v>12</v>
      </c>
      <c r="N86" s="8" t="n">
        <f aca="false">DATEDIF(E86,L86,"m")</f>
        <v>30</v>
      </c>
      <c r="O86" s="12" t="n">
        <v>1663</v>
      </c>
      <c r="P86" s="12" t="n">
        <f aca="false">O86/12</f>
        <v>138.583333333333</v>
      </c>
      <c r="Q86" s="4" t="n">
        <v>1</v>
      </c>
      <c r="R86" s="10" t="n">
        <f aca="false">IF(N86&lt;=12,N86*P86,O86)</f>
        <v>1663</v>
      </c>
      <c r="S86" s="4" t="s">
        <v>27</v>
      </c>
    </row>
    <row r="87" customFormat="false" ht="15" hidden="false" customHeight="false" outlineLevel="0" collapsed="false">
      <c r="A87" s="4" t="s">
        <v>28</v>
      </c>
      <c r="B87" s="4" t="s">
        <v>331</v>
      </c>
      <c r="C87" s="4" t="s">
        <v>332</v>
      </c>
      <c r="D87" s="11" t="s">
        <v>333</v>
      </c>
      <c r="E87" s="5" t="n">
        <f aca="false">DATEVALUE(LEFT(D87,10))</f>
        <v>45671</v>
      </c>
      <c r="F87" s="4" t="s">
        <v>294</v>
      </c>
      <c r="G87" s="15" t="s">
        <v>69</v>
      </c>
      <c r="H87" s="4" t="s">
        <v>24</v>
      </c>
      <c r="I87" s="4" t="s">
        <v>25</v>
      </c>
      <c r="J87" s="4" t="s">
        <v>26</v>
      </c>
      <c r="K87" s="7" t="n">
        <v>45777</v>
      </c>
      <c r="L87" s="7" t="n">
        <v>46142</v>
      </c>
      <c r="M87" s="8" t="n">
        <f aca="false">DATEDIF(K87,L87,"m")</f>
        <v>12</v>
      </c>
      <c r="N87" s="8" t="n">
        <f aca="false">DATEDIF(E87,L87,"m")</f>
        <v>15</v>
      </c>
      <c r="O87" s="12" t="n">
        <v>1663</v>
      </c>
      <c r="P87" s="12" t="n">
        <f aca="false">O87/12</f>
        <v>138.583333333333</v>
      </c>
      <c r="Q87" s="4" t="n">
        <v>1</v>
      </c>
      <c r="R87" s="10" t="n">
        <f aca="false">IF(N87&lt;=12,N87*P87,O87)</f>
        <v>1663</v>
      </c>
      <c r="S87" s="4" t="s">
        <v>27</v>
      </c>
    </row>
    <row r="88" customFormat="false" ht="15" hidden="false" customHeight="false" outlineLevel="0" collapsed="false">
      <c r="A88" s="4" t="s">
        <v>98</v>
      </c>
      <c r="B88" s="4" t="s">
        <v>334</v>
      </c>
      <c r="C88" s="4" t="s">
        <v>335</v>
      </c>
      <c r="D88" s="4" t="s">
        <v>336</v>
      </c>
      <c r="E88" s="5" t="n">
        <f aca="false">DATEVALUE(LEFT(D88,10))</f>
        <v>45335</v>
      </c>
      <c r="F88" s="4" t="s">
        <v>259</v>
      </c>
      <c r="G88" s="15" t="s">
        <v>337</v>
      </c>
      <c r="H88" s="4" t="s">
        <v>104</v>
      </c>
      <c r="I88" s="4" t="s">
        <v>25</v>
      </c>
      <c r="J88" s="4" t="s">
        <v>38</v>
      </c>
      <c r="K88" s="7" t="n">
        <v>45839</v>
      </c>
      <c r="L88" s="7" t="n">
        <v>46204</v>
      </c>
      <c r="M88" s="8" t="n">
        <f aca="false">DATEDIF(K88,L88,"m")</f>
        <v>12</v>
      </c>
      <c r="N88" s="8" t="n">
        <f aca="false">DATEDIF(E88,L88,"m")</f>
        <v>28</v>
      </c>
      <c r="O88" s="9" t="n">
        <v>1498.8</v>
      </c>
      <c r="P88" s="9" t="n">
        <f aca="false">O88/M88</f>
        <v>124.9</v>
      </c>
      <c r="Q88" s="4" t="n">
        <v>1</v>
      </c>
      <c r="R88" s="10" t="n">
        <f aca="false">IF(N88&lt;=12,N88*P88,O88)</f>
        <v>1498.8</v>
      </c>
      <c r="S88" s="4" t="s">
        <v>27</v>
      </c>
    </row>
    <row r="89" customFormat="false" ht="15" hidden="false" customHeight="false" outlineLevel="0" collapsed="false">
      <c r="A89" s="4" t="s">
        <v>28</v>
      </c>
      <c r="B89" s="4" t="s">
        <v>338</v>
      </c>
      <c r="C89" s="4" t="s">
        <v>339</v>
      </c>
      <c r="D89" s="11" t="s">
        <v>340</v>
      </c>
      <c r="E89" s="5" t="n">
        <f aca="false">DATEVALUE(LEFT(D89,10))</f>
        <v>45674</v>
      </c>
      <c r="F89" s="4" t="s">
        <v>294</v>
      </c>
      <c r="G89" s="15" t="s">
        <v>69</v>
      </c>
      <c r="H89" s="4" t="s">
        <v>24</v>
      </c>
      <c r="I89" s="4" t="s">
        <v>37</v>
      </c>
      <c r="J89" s="4" t="s">
        <v>38</v>
      </c>
      <c r="K89" s="7" t="n">
        <v>45944</v>
      </c>
      <c r="L89" s="7" t="n">
        <v>46309</v>
      </c>
      <c r="M89" s="8" t="n">
        <f aca="false">DATEDIF(K89,L89,"m")</f>
        <v>12</v>
      </c>
      <c r="N89" s="8" t="n">
        <f aca="false">DATEDIF(E89,L89,"m")</f>
        <v>20</v>
      </c>
      <c r="O89" s="12" t="n">
        <v>298.8</v>
      </c>
      <c r="P89" s="9" t="n">
        <f aca="false">O89/M89</f>
        <v>24.9</v>
      </c>
      <c r="Q89" s="4" t="n">
        <v>1</v>
      </c>
      <c r="R89" s="10" t="n">
        <f aca="false">IF(N89&lt;=12,N89*P89,O89)</f>
        <v>298.8</v>
      </c>
      <c r="S89" s="4" t="s">
        <v>27</v>
      </c>
    </row>
    <row r="90" customFormat="false" ht="15" hidden="false" customHeight="false" outlineLevel="0" collapsed="false">
      <c r="A90" s="4" t="s">
        <v>28</v>
      </c>
      <c r="B90" s="4" t="s">
        <v>341</v>
      </c>
      <c r="C90" s="4" t="s">
        <v>342</v>
      </c>
      <c r="D90" s="11" t="s">
        <v>343</v>
      </c>
      <c r="E90" s="5" t="n">
        <f aca="false">DATEVALUE(LEFT(D90,10))</f>
        <v>44970</v>
      </c>
      <c r="F90" s="4" t="s">
        <v>36</v>
      </c>
      <c r="G90" s="15" t="s">
        <v>33</v>
      </c>
      <c r="H90" s="4" t="s">
        <v>24</v>
      </c>
      <c r="I90" s="4" t="s">
        <v>37</v>
      </c>
      <c r="J90" s="4" t="s">
        <v>38</v>
      </c>
      <c r="K90" s="7" t="n">
        <v>45944</v>
      </c>
      <c r="L90" s="7" t="n">
        <v>46309</v>
      </c>
      <c r="M90" s="8" t="n">
        <f aca="false">DATEDIF(K90,L90,"m")</f>
        <v>12</v>
      </c>
      <c r="N90" s="8" t="n">
        <f aca="false">DATEDIF(E90,L90,"m")</f>
        <v>44</v>
      </c>
      <c r="O90" s="12" t="n">
        <v>298.8</v>
      </c>
      <c r="P90" s="9" t="n">
        <f aca="false">O90/M90</f>
        <v>24.9</v>
      </c>
      <c r="Q90" s="4" t="n">
        <v>1</v>
      </c>
      <c r="R90" s="10" t="n">
        <f aca="false">IF(N90&lt;=12,N90*P90,O90)</f>
        <v>298.8</v>
      </c>
      <c r="S90" s="4" t="s">
        <v>27</v>
      </c>
    </row>
    <row r="91" customFormat="false" ht="15" hidden="false" customHeight="false" outlineLevel="0" collapsed="false">
      <c r="A91" s="4" t="s">
        <v>28</v>
      </c>
      <c r="B91" s="4" t="s">
        <v>344</v>
      </c>
      <c r="C91" s="4" t="s">
        <v>345</v>
      </c>
      <c r="D91" s="11" t="s">
        <v>346</v>
      </c>
      <c r="E91" s="5" t="n">
        <f aca="false">DATEVALUE(LEFT(D91,10))</f>
        <v>44855</v>
      </c>
      <c r="F91" s="4" t="s">
        <v>42</v>
      </c>
      <c r="G91" s="15" t="s">
        <v>87</v>
      </c>
      <c r="H91" s="4" t="s">
        <v>24</v>
      </c>
      <c r="I91" s="4" t="s">
        <v>25</v>
      </c>
      <c r="J91" s="4" t="s">
        <v>26</v>
      </c>
      <c r="K91" s="7" t="n">
        <v>45777</v>
      </c>
      <c r="L91" s="7" t="n">
        <v>46142</v>
      </c>
      <c r="M91" s="8" t="n">
        <f aca="false">DATEDIF(K91,L91,"m")</f>
        <v>12</v>
      </c>
      <c r="N91" s="8" t="n">
        <f aca="false">DATEDIF(E91,L91,"m")</f>
        <v>42</v>
      </c>
      <c r="O91" s="12" t="n">
        <v>1663</v>
      </c>
      <c r="P91" s="12" t="n">
        <f aca="false">O91/12</f>
        <v>138.583333333333</v>
      </c>
      <c r="Q91" s="4" t="n">
        <v>1</v>
      </c>
      <c r="R91" s="10" t="n">
        <f aca="false">IF(N91&lt;=12,N91*P91,O91)</f>
        <v>1663</v>
      </c>
      <c r="S91" s="4" t="s">
        <v>27</v>
      </c>
    </row>
    <row r="92" customFormat="false" ht="15" hidden="false" customHeight="false" outlineLevel="0" collapsed="false">
      <c r="A92" s="4" t="s">
        <v>28</v>
      </c>
      <c r="B92" s="4" t="s">
        <v>347</v>
      </c>
      <c r="C92" s="4" t="s">
        <v>348</v>
      </c>
      <c r="D92" s="11" t="s">
        <v>349</v>
      </c>
      <c r="E92" s="5" t="n">
        <f aca="false">DATEVALUE(LEFT(D92,10))</f>
        <v>45905</v>
      </c>
      <c r="F92" s="4" t="s">
        <v>350</v>
      </c>
      <c r="G92" s="15" t="s">
        <v>265</v>
      </c>
      <c r="H92" s="4" t="s">
        <v>24</v>
      </c>
      <c r="I92" s="4" t="s">
        <v>25</v>
      </c>
      <c r="J92" s="4" t="s">
        <v>26</v>
      </c>
      <c r="K92" s="7" t="n">
        <v>45777</v>
      </c>
      <c r="L92" s="7" t="n">
        <v>46142</v>
      </c>
      <c r="M92" s="8" t="n">
        <f aca="false">DATEDIF(K92,L92,"m")</f>
        <v>12</v>
      </c>
      <c r="N92" s="8" t="n">
        <f aca="false">DATEDIF(E92,L92,"m")</f>
        <v>7</v>
      </c>
      <c r="O92" s="12" t="n">
        <v>1663</v>
      </c>
      <c r="P92" s="12" t="n">
        <f aca="false">O92/12</f>
        <v>138.583333333333</v>
      </c>
      <c r="Q92" s="4" t="n">
        <v>1</v>
      </c>
      <c r="R92" s="10" t="n">
        <f aca="false">IF(N92&lt;=12,N92*P92,O92)</f>
        <v>970.083333333333</v>
      </c>
      <c r="S92" s="4" t="s">
        <v>27</v>
      </c>
    </row>
    <row r="93" customFormat="false" ht="15" hidden="false" customHeight="false" outlineLevel="0" collapsed="false">
      <c r="A93" s="4" t="s">
        <v>28</v>
      </c>
      <c r="B93" s="4" t="s">
        <v>351</v>
      </c>
      <c r="C93" s="4" t="s">
        <v>352</v>
      </c>
      <c r="D93" s="11" t="s">
        <v>353</v>
      </c>
      <c r="E93" s="5" t="n">
        <f aca="false">DATEVALUE(LEFT(D93,10))</f>
        <v>45301</v>
      </c>
      <c r="F93" s="4" t="s">
        <v>108</v>
      </c>
      <c r="G93" s="15" t="s">
        <v>109</v>
      </c>
      <c r="H93" s="4" t="s">
        <v>24</v>
      </c>
      <c r="I93" s="4" t="s">
        <v>25</v>
      </c>
      <c r="J93" s="4" t="s">
        <v>26</v>
      </c>
      <c r="K93" s="7" t="n">
        <v>45777</v>
      </c>
      <c r="L93" s="7" t="n">
        <v>46142</v>
      </c>
      <c r="M93" s="8" t="n">
        <f aca="false">DATEDIF(K93,L93,"m")</f>
        <v>12</v>
      </c>
      <c r="N93" s="8" t="n">
        <f aca="false">DATEDIF(E93,L93,"m")</f>
        <v>27</v>
      </c>
      <c r="O93" s="12" t="n">
        <v>1663</v>
      </c>
      <c r="P93" s="12" t="n">
        <f aca="false">O93/12</f>
        <v>138.583333333333</v>
      </c>
      <c r="Q93" s="4" t="n">
        <v>1</v>
      </c>
      <c r="R93" s="10" t="n">
        <f aca="false">IF(N93&lt;=12,N93*P93,O93)</f>
        <v>1663</v>
      </c>
      <c r="S93" s="4" t="s">
        <v>27</v>
      </c>
    </row>
    <row r="94" customFormat="false" ht="15" hidden="false" customHeight="false" outlineLevel="0" collapsed="false">
      <c r="A94" s="4" t="s">
        <v>98</v>
      </c>
      <c r="B94" s="4" t="s">
        <v>354</v>
      </c>
      <c r="C94" s="4" t="s">
        <v>355</v>
      </c>
      <c r="D94" s="4" t="s">
        <v>356</v>
      </c>
      <c r="E94" s="5" t="n">
        <f aca="false">DATEVALUE(LEFT(D94,10))</f>
        <v>45335</v>
      </c>
      <c r="F94" s="4" t="s">
        <v>259</v>
      </c>
      <c r="G94" s="15" t="s">
        <v>357</v>
      </c>
      <c r="H94" s="4" t="s">
        <v>104</v>
      </c>
      <c r="I94" s="4" t="s">
        <v>25</v>
      </c>
      <c r="J94" s="4" t="s">
        <v>38</v>
      </c>
      <c r="K94" s="7" t="n">
        <v>45839</v>
      </c>
      <c r="L94" s="7" t="n">
        <v>46204</v>
      </c>
      <c r="M94" s="8" t="n">
        <f aca="false">DATEDIF(K94,L94,"m")</f>
        <v>12</v>
      </c>
      <c r="N94" s="8" t="n">
        <f aca="false">DATEDIF(E94,L94,"m")</f>
        <v>28</v>
      </c>
      <c r="O94" s="9" t="n">
        <v>1498.8</v>
      </c>
      <c r="P94" s="9" t="n">
        <f aca="false">O94/M94</f>
        <v>124.9</v>
      </c>
      <c r="Q94" s="4" t="n">
        <v>1</v>
      </c>
      <c r="R94" s="10" t="n">
        <f aca="false">IF(N94&lt;=12,N94*P94,O94)</f>
        <v>1498.8</v>
      </c>
      <c r="S94" s="4" t="s">
        <v>27</v>
      </c>
    </row>
    <row r="95" customFormat="false" ht="15" hidden="false" customHeight="false" outlineLevel="0" collapsed="false">
      <c r="A95" s="4" t="s">
        <v>28</v>
      </c>
      <c r="B95" s="4" t="s">
        <v>358</v>
      </c>
      <c r="C95" s="4" t="s">
        <v>359</v>
      </c>
      <c r="D95" s="11" t="s">
        <v>360</v>
      </c>
      <c r="E95" s="5" t="n">
        <f aca="false">DATEVALUE(LEFT(D95,10))</f>
        <v>44855</v>
      </c>
      <c r="F95" s="4" t="s">
        <v>42</v>
      </c>
      <c r="G95" s="15" t="s">
        <v>301</v>
      </c>
      <c r="H95" s="4" t="s">
        <v>24</v>
      </c>
      <c r="I95" s="4" t="s">
        <v>37</v>
      </c>
      <c r="J95" s="4" t="s">
        <v>38</v>
      </c>
      <c r="K95" s="7" t="n">
        <v>45944</v>
      </c>
      <c r="L95" s="7" t="n">
        <v>46309</v>
      </c>
      <c r="M95" s="8" t="n">
        <f aca="false">DATEDIF(K95,L95,"m")</f>
        <v>12</v>
      </c>
      <c r="N95" s="8" t="n">
        <f aca="false">DATEDIF(E95,L95,"m")</f>
        <v>47</v>
      </c>
      <c r="O95" s="12" t="n">
        <v>298.8</v>
      </c>
      <c r="P95" s="9" t="n">
        <f aca="false">O95/M95</f>
        <v>24.9</v>
      </c>
      <c r="Q95" s="4" t="n">
        <v>1</v>
      </c>
      <c r="R95" s="10" t="n">
        <f aca="false">IF(N95&lt;=12,N95*P95,O95)</f>
        <v>298.8</v>
      </c>
      <c r="S95" s="4" t="s">
        <v>27</v>
      </c>
    </row>
    <row r="96" customFormat="false" ht="15" hidden="false" customHeight="false" outlineLevel="0" collapsed="false">
      <c r="A96" s="4" t="s">
        <v>28</v>
      </c>
      <c r="B96" s="4" t="s">
        <v>361</v>
      </c>
      <c r="C96" s="4" t="s">
        <v>362</v>
      </c>
      <c r="D96" s="11" t="s">
        <v>363</v>
      </c>
      <c r="E96" s="5" t="n">
        <f aca="false">DATEVALUE(LEFT(D96,10))</f>
        <v>45301</v>
      </c>
      <c r="F96" s="4" t="s">
        <v>181</v>
      </c>
      <c r="G96" s="4" t="s">
        <v>364</v>
      </c>
      <c r="H96" s="4" t="s">
        <v>24</v>
      </c>
      <c r="I96" s="4" t="s">
        <v>25</v>
      </c>
      <c r="J96" s="4" t="s">
        <v>26</v>
      </c>
      <c r="K96" s="7" t="n">
        <v>45777</v>
      </c>
      <c r="L96" s="7" t="n">
        <v>46142</v>
      </c>
      <c r="M96" s="8" t="n">
        <f aca="false">DATEDIF(K96,L96,"m")</f>
        <v>12</v>
      </c>
      <c r="N96" s="8" t="n">
        <f aca="false">DATEDIF(E96,L96,"m")</f>
        <v>27</v>
      </c>
      <c r="O96" s="12" t="n">
        <v>1663</v>
      </c>
      <c r="P96" s="12" t="n">
        <f aca="false">O96/12</f>
        <v>138.583333333333</v>
      </c>
      <c r="Q96" s="4" t="n">
        <v>1</v>
      </c>
      <c r="R96" s="10" t="n">
        <f aca="false">IF(N96&lt;=12,N96*P96,O96)</f>
        <v>1663</v>
      </c>
      <c r="S96" s="4" t="s">
        <v>27</v>
      </c>
    </row>
    <row r="97" customFormat="false" ht="15" hidden="false" customHeight="false" outlineLevel="0" collapsed="false">
      <c r="A97" s="4" t="s">
        <v>28</v>
      </c>
      <c r="B97" s="4" t="s">
        <v>365</v>
      </c>
      <c r="C97" s="4" t="s">
        <v>366</v>
      </c>
      <c r="D97" s="11" t="s">
        <v>367</v>
      </c>
      <c r="E97" s="5" t="n">
        <f aca="false">DATEVALUE(LEFT(D97,10))</f>
        <v>45306</v>
      </c>
      <c r="F97" s="4" t="s">
        <v>97</v>
      </c>
      <c r="G97" s="4" t="s">
        <v>53</v>
      </c>
      <c r="H97" s="4" t="s">
        <v>24</v>
      </c>
      <c r="I97" s="4" t="s">
        <v>25</v>
      </c>
      <c r="J97" s="4" t="s">
        <v>26</v>
      </c>
      <c r="K97" s="7" t="n">
        <v>45777</v>
      </c>
      <c r="L97" s="7" t="n">
        <v>46142</v>
      </c>
      <c r="M97" s="8" t="n">
        <f aca="false">DATEDIF(K97,L97,"m")</f>
        <v>12</v>
      </c>
      <c r="N97" s="8" t="n">
        <f aca="false">DATEDIF(E97,L97,"m")</f>
        <v>27</v>
      </c>
      <c r="O97" s="12" t="n">
        <v>1663</v>
      </c>
      <c r="P97" s="12" t="n">
        <f aca="false">O97/12</f>
        <v>138.583333333333</v>
      </c>
      <c r="Q97" s="4" t="n">
        <v>1</v>
      </c>
      <c r="R97" s="10" t="n">
        <f aca="false">IF(N97&lt;=12,N97*P97,O97)</f>
        <v>1663</v>
      </c>
      <c r="S97" s="4" t="s">
        <v>27</v>
      </c>
    </row>
    <row r="98" customFormat="false" ht="15" hidden="false" customHeight="false" outlineLevel="0" collapsed="false">
      <c r="A98" s="4" t="s">
        <v>28</v>
      </c>
      <c r="B98" s="4" t="s">
        <v>368</v>
      </c>
      <c r="C98" s="4" t="s">
        <v>369</v>
      </c>
      <c r="D98" s="11" t="s">
        <v>370</v>
      </c>
      <c r="E98" s="5" t="n">
        <f aca="false">DATEVALUE(LEFT(D98,10))</f>
        <v>45351</v>
      </c>
      <c r="F98" s="4" t="s">
        <v>294</v>
      </c>
      <c r="G98" s="15" t="s">
        <v>69</v>
      </c>
      <c r="H98" s="4" t="s">
        <v>24</v>
      </c>
      <c r="I98" s="4" t="s">
        <v>25</v>
      </c>
      <c r="J98" s="4" t="s">
        <v>26</v>
      </c>
      <c r="K98" s="7" t="n">
        <v>45777</v>
      </c>
      <c r="L98" s="7" t="n">
        <v>46142</v>
      </c>
      <c r="M98" s="8" t="n">
        <f aca="false">DATEDIF(K98,L98,"m")</f>
        <v>12</v>
      </c>
      <c r="N98" s="8" t="n">
        <f aca="false">DATEDIF(E98,L98,"m")</f>
        <v>26</v>
      </c>
      <c r="O98" s="12" t="n">
        <v>1663</v>
      </c>
      <c r="P98" s="12" t="n">
        <f aca="false">O98/12</f>
        <v>138.583333333333</v>
      </c>
      <c r="Q98" s="4" t="n">
        <v>1</v>
      </c>
      <c r="R98" s="10" t="n">
        <f aca="false">IF(N98&lt;=12,N98*P98,O98)</f>
        <v>1663</v>
      </c>
      <c r="S98" s="4" t="s">
        <v>27</v>
      </c>
    </row>
    <row r="99" customFormat="false" ht="15" hidden="false" customHeight="false" outlineLevel="0" collapsed="false">
      <c r="A99" s="4" t="s">
        <v>19</v>
      </c>
      <c r="B99" s="4" t="s">
        <v>371</v>
      </c>
      <c r="C99" s="4" t="s">
        <v>372</v>
      </c>
      <c r="D99" s="4" t="s">
        <v>373</v>
      </c>
      <c r="E99" s="5" t="n">
        <f aca="false">DATEVALUE(LEFT(D99,10))</f>
        <v>45735</v>
      </c>
      <c r="F99" s="4" t="s">
        <v>23</v>
      </c>
      <c r="G99" s="4" t="s">
        <v>23</v>
      </c>
      <c r="H99" s="6" t="s">
        <v>24</v>
      </c>
      <c r="I99" s="4" t="s">
        <v>25</v>
      </c>
      <c r="J99" s="4" t="s">
        <v>26</v>
      </c>
      <c r="K99" s="7" t="n">
        <v>45814</v>
      </c>
      <c r="L99" s="7" t="n">
        <v>46182</v>
      </c>
      <c r="M99" s="8" t="n">
        <f aca="false">DATEDIF(K99,L99,"m")</f>
        <v>12</v>
      </c>
      <c r="N99" s="8" t="n">
        <f aca="false">DATEDIF(E99,L99,"m")</f>
        <v>14</v>
      </c>
      <c r="O99" s="9" t="n">
        <v>1794.5</v>
      </c>
      <c r="P99" s="9" t="n">
        <f aca="false">O99/M99</f>
        <v>149.541666666667</v>
      </c>
      <c r="Q99" s="4" t="n">
        <v>1</v>
      </c>
      <c r="R99" s="10" t="n">
        <f aca="false">IF(N99&lt;=12,N99*P99,O99)</f>
        <v>1794.5</v>
      </c>
      <c r="S99" s="4" t="s">
        <v>27</v>
      </c>
    </row>
    <row r="100" customFormat="false" ht="15" hidden="false" customHeight="false" outlineLevel="0" collapsed="false">
      <c r="A100" s="4" t="s">
        <v>28</v>
      </c>
      <c r="B100" s="4" t="s">
        <v>374</v>
      </c>
      <c r="C100" s="4" t="s">
        <v>375</v>
      </c>
      <c r="D100" s="11" t="s">
        <v>376</v>
      </c>
      <c r="E100" s="5" t="n">
        <f aca="false">DATEVALUE(LEFT(D100,10))</f>
        <v>45495</v>
      </c>
      <c r="F100" s="4" t="s">
        <v>91</v>
      </c>
      <c r="G100" s="15" t="s">
        <v>92</v>
      </c>
      <c r="H100" s="4" t="s">
        <v>24</v>
      </c>
      <c r="I100" s="4" t="s">
        <v>25</v>
      </c>
      <c r="J100" s="4" t="s">
        <v>26</v>
      </c>
      <c r="K100" s="7" t="n">
        <v>45777</v>
      </c>
      <c r="L100" s="7" t="n">
        <v>46142</v>
      </c>
      <c r="M100" s="8" t="n">
        <f aca="false">DATEDIF(K100,L100,"m")</f>
        <v>12</v>
      </c>
      <c r="N100" s="8" t="n">
        <f aca="false">DATEDIF(E100,L100,"m")</f>
        <v>21</v>
      </c>
      <c r="O100" s="12" t="n">
        <v>1663</v>
      </c>
      <c r="P100" s="12" t="n">
        <f aca="false">O100/12</f>
        <v>138.583333333333</v>
      </c>
      <c r="Q100" s="4" t="n">
        <v>1</v>
      </c>
      <c r="R100" s="10" t="n">
        <f aca="false">IF(N100&lt;=12,N100*P100,O100)</f>
        <v>1663</v>
      </c>
      <c r="S100" s="4" t="s">
        <v>27</v>
      </c>
    </row>
    <row r="101" customFormat="false" ht="15" hidden="false" customHeight="false" outlineLevel="0" collapsed="false">
      <c r="A101" s="4" t="s">
        <v>28</v>
      </c>
      <c r="B101" s="4" t="s">
        <v>377</v>
      </c>
      <c r="C101" s="4" t="s">
        <v>378</v>
      </c>
      <c r="D101" s="4" t="s">
        <v>379</v>
      </c>
      <c r="E101" s="5" t="n">
        <f aca="false">DATEVALUE(LEFT(D101,10))</f>
        <v>45405</v>
      </c>
      <c r="F101" s="4" t="s">
        <v>181</v>
      </c>
      <c r="G101" s="15" t="s">
        <v>380</v>
      </c>
      <c r="H101" s="4" t="s">
        <v>24</v>
      </c>
      <c r="I101" s="4" t="s">
        <v>37</v>
      </c>
      <c r="J101" s="4" t="s">
        <v>38</v>
      </c>
      <c r="K101" s="7" t="n">
        <v>45944</v>
      </c>
      <c r="L101" s="7" t="n">
        <v>46309</v>
      </c>
      <c r="M101" s="8" t="n">
        <f aca="false">DATEDIF(K101,L101,"m")</f>
        <v>12</v>
      </c>
      <c r="N101" s="8" t="n">
        <f aca="false">DATEDIF(E101,L101,"m")</f>
        <v>29</v>
      </c>
      <c r="O101" s="12" t="n">
        <v>298.8</v>
      </c>
      <c r="P101" s="9" t="n">
        <f aca="false">O101/M101</f>
        <v>24.9</v>
      </c>
      <c r="Q101" s="4" t="n">
        <v>1</v>
      </c>
      <c r="R101" s="10" t="n">
        <f aca="false">IF(N101&lt;=12,N101*P101,O101)</f>
        <v>298.8</v>
      </c>
      <c r="S101" s="4" t="s">
        <v>27</v>
      </c>
    </row>
    <row r="102" customFormat="false" ht="15" hidden="false" customHeight="false" outlineLevel="0" collapsed="false">
      <c r="A102" s="4" t="s">
        <v>28</v>
      </c>
      <c r="B102" s="4" t="s">
        <v>381</v>
      </c>
      <c r="C102" s="4" t="s">
        <v>382</v>
      </c>
      <c r="D102" s="11" t="s">
        <v>383</v>
      </c>
      <c r="E102" s="5" t="n">
        <f aca="false">DATEVALUE(LEFT(D102,10))</f>
        <v>45832</v>
      </c>
      <c r="F102" s="4" t="s">
        <v>384</v>
      </c>
      <c r="G102" s="4" t="s">
        <v>385</v>
      </c>
      <c r="H102" s="4" t="s">
        <v>24</v>
      </c>
      <c r="I102" s="4" t="s">
        <v>25</v>
      </c>
      <c r="J102" s="4" t="s">
        <v>26</v>
      </c>
      <c r="K102" s="7" t="n">
        <v>45777</v>
      </c>
      <c r="L102" s="7" t="n">
        <v>46142</v>
      </c>
      <c r="M102" s="8" t="n">
        <f aca="false">DATEDIF(K102,L102,"m")</f>
        <v>12</v>
      </c>
      <c r="N102" s="8" t="n">
        <f aca="false">DATEDIF(E102,L102,"m")</f>
        <v>10</v>
      </c>
      <c r="O102" s="12" t="n">
        <v>1663</v>
      </c>
      <c r="P102" s="12" t="n">
        <f aca="false">O102/12</f>
        <v>138.583333333333</v>
      </c>
      <c r="Q102" s="4" t="n">
        <v>1</v>
      </c>
      <c r="R102" s="10" t="n">
        <f aca="false">IF(N102&lt;=12,N102*P102,O102)</f>
        <v>1385.83333333333</v>
      </c>
      <c r="S102" s="4" t="s">
        <v>27</v>
      </c>
    </row>
    <row r="103" customFormat="false" ht="15" hidden="false" customHeight="false" outlineLevel="0" collapsed="false">
      <c r="A103" s="4" t="s">
        <v>28</v>
      </c>
      <c r="B103" s="4" t="s">
        <v>381</v>
      </c>
      <c r="C103" s="4" t="s">
        <v>382</v>
      </c>
      <c r="D103" s="11" t="s">
        <v>383</v>
      </c>
      <c r="E103" s="5" t="n">
        <f aca="false">DATEVALUE(LEFT(D103,10))</f>
        <v>45832</v>
      </c>
      <c r="F103" s="4" t="s">
        <v>384</v>
      </c>
      <c r="G103" s="4" t="s">
        <v>385</v>
      </c>
      <c r="H103" s="4" t="s">
        <v>24</v>
      </c>
      <c r="I103" s="4" t="s">
        <v>80</v>
      </c>
      <c r="J103" s="4" t="s">
        <v>38</v>
      </c>
      <c r="K103" s="7" t="n">
        <v>45997</v>
      </c>
      <c r="L103" s="7" t="n">
        <v>46362</v>
      </c>
      <c r="M103" s="8" t="n">
        <f aca="false">DATEDIF(K103,L103,"m")</f>
        <v>12</v>
      </c>
      <c r="N103" s="8" t="n">
        <f aca="false">DATEDIF(E103,L103,"m")</f>
        <v>17</v>
      </c>
      <c r="O103" s="16" t="n">
        <v>542.8</v>
      </c>
      <c r="P103" s="12" t="n">
        <f aca="false">O103/M103</f>
        <v>45.2333333333333</v>
      </c>
      <c r="Q103" s="4" t="n">
        <v>1</v>
      </c>
      <c r="R103" s="10" t="n">
        <f aca="false">IF(N103&lt;=12,N103*P103,O103)</f>
        <v>542.8</v>
      </c>
      <c r="S103" s="4" t="s">
        <v>27</v>
      </c>
    </row>
    <row r="104" customFormat="false" ht="15" hidden="false" customHeight="false" outlineLevel="0" collapsed="false">
      <c r="A104" s="4" t="s">
        <v>28</v>
      </c>
      <c r="B104" s="4" t="s">
        <v>386</v>
      </c>
      <c r="C104" s="4" t="s">
        <v>387</v>
      </c>
      <c r="D104" s="11" t="s">
        <v>388</v>
      </c>
      <c r="E104" s="5" t="n">
        <f aca="false">DATEVALUE(LEFT(D104,10))</f>
        <v>45874</v>
      </c>
      <c r="F104" s="4" t="s">
        <v>91</v>
      </c>
      <c r="G104" s="15" t="s">
        <v>92</v>
      </c>
      <c r="H104" s="4" t="s">
        <v>24</v>
      </c>
      <c r="I104" s="4" t="s">
        <v>25</v>
      </c>
      <c r="J104" s="4" t="s">
        <v>26</v>
      </c>
      <c r="K104" s="7" t="n">
        <v>45777</v>
      </c>
      <c r="L104" s="7" t="n">
        <v>46142</v>
      </c>
      <c r="M104" s="8" t="n">
        <f aca="false">DATEDIF(K104,L104,"m")</f>
        <v>12</v>
      </c>
      <c r="N104" s="8" t="n">
        <f aca="false">DATEDIF(E104,L104,"m")</f>
        <v>8</v>
      </c>
      <c r="O104" s="12" t="n">
        <v>1663</v>
      </c>
      <c r="P104" s="12" t="n">
        <f aca="false">O104/12</f>
        <v>138.583333333333</v>
      </c>
      <c r="Q104" s="4" t="n">
        <v>1</v>
      </c>
      <c r="R104" s="10" t="n">
        <f aca="false">IF(N104&lt;=12,N104*P104,O104)</f>
        <v>1108.66666666667</v>
      </c>
      <c r="S104" s="4" t="s">
        <v>27</v>
      </c>
    </row>
    <row r="105" customFormat="false" ht="15" hidden="false" customHeight="false" outlineLevel="0" collapsed="false">
      <c r="A105" s="4" t="s">
        <v>28</v>
      </c>
      <c r="B105" s="4" t="s">
        <v>389</v>
      </c>
      <c r="C105" s="4" t="s">
        <v>390</v>
      </c>
      <c r="D105" s="11" t="s">
        <v>391</v>
      </c>
      <c r="E105" s="5" t="n">
        <f aca="false">DATEVALUE(LEFT(D105,10))</f>
        <v>45352</v>
      </c>
      <c r="F105" s="4" t="s">
        <v>305</v>
      </c>
      <c r="G105" s="4" t="s">
        <v>123</v>
      </c>
      <c r="H105" s="4" t="s">
        <v>24</v>
      </c>
      <c r="I105" s="4" t="s">
        <v>25</v>
      </c>
      <c r="J105" s="4" t="s">
        <v>26</v>
      </c>
      <c r="K105" s="7" t="n">
        <v>45777</v>
      </c>
      <c r="L105" s="7" t="n">
        <v>46142</v>
      </c>
      <c r="M105" s="8" t="n">
        <f aca="false">DATEDIF(K105,L105,"m")</f>
        <v>12</v>
      </c>
      <c r="N105" s="8" t="n">
        <f aca="false">DATEDIF(E105,L105,"m")</f>
        <v>25</v>
      </c>
      <c r="O105" s="12" t="n">
        <v>1663</v>
      </c>
      <c r="P105" s="12" t="n">
        <f aca="false">O105/12</f>
        <v>138.583333333333</v>
      </c>
      <c r="Q105" s="4" t="n">
        <v>1</v>
      </c>
      <c r="R105" s="10" t="n">
        <f aca="false">IF(N105&lt;=12,N105*P105,O105)</f>
        <v>1663</v>
      </c>
      <c r="S105" s="4" t="s">
        <v>27</v>
      </c>
    </row>
    <row r="106" customFormat="false" ht="15" hidden="false" customHeight="false" outlineLevel="0" collapsed="false">
      <c r="A106" s="4" t="s">
        <v>28</v>
      </c>
      <c r="B106" s="4" t="s">
        <v>392</v>
      </c>
      <c r="C106" s="4" t="s">
        <v>393</v>
      </c>
      <c r="D106" s="11" t="s">
        <v>394</v>
      </c>
      <c r="E106" s="5" t="n">
        <f aca="false">DATEVALUE(LEFT(D106,10))</f>
        <v>45608</v>
      </c>
      <c r="F106" s="4" t="s">
        <v>36</v>
      </c>
      <c r="G106" s="15" t="s">
        <v>33</v>
      </c>
      <c r="H106" s="4" t="s">
        <v>24</v>
      </c>
      <c r="I106" s="4" t="s">
        <v>25</v>
      </c>
      <c r="J106" s="4" t="s">
        <v>26</v>
      </c>
      <c r="K106" s="7" t="n">
        <v>45777</v>
      </c>
      <c r="L106" s="7" t="n">
        <v>46142</v>
      </c>
      <c r="M106" s="8" t="n">
        <f aca="false">DATEDIF(K106,L106,"m")</f>
        <v>12</v>
      </c>
      <c r="N106" s="8" t="n">
        <f aca="false">DATEDIF(E106,L106,"m")</f>
        <v>17</v>
      </c>
      <c r="O106" s="12" t="n">
        <v>1663</v>
      </c>
      <c r="P106" s="12" t="n">
        <f aca="false">O106/12</f>
        <v>138.583333333333</v>
      </c>
      <c r="Q106" s="4" t="n">
        <v>1</v>
      </c>
      <c r="R106" s="10" t="n">
        <f aca="false">IF(N106&lt;=12,N106*P106,O106)</f>
        <v>1663</v>
      </c>
      <c r="S106" s="4" t="s">
        <v>27</v>
      </c>
    </row>
    <row r="107" customFormat="false" ht="15" hidden="false" customHeight="false" outlineLevel="0" collapsed="false">
      <c r="A107" s="4" t="s">
        <v>28</v>
      </c>
      <c r="B107" s="4" t="s">
        <v>395</v>
      </c>
      <c r="C107" s="4" t="s">
        <v>396</v>
      </c>
      <c r="D107" s="11" t="s">
        <v>397</v>
      </c>
      <c r="E107" s="5" t="n">
        <f aca="false">DATEVALUE(LEFT(D107,10))</f>
        <v>45905</v>
      </c>
      <c r="F107" s="4" t="s">
        <v>97</v>
      </c>
      <c r="G107" s="4" t="s">
        <v>53</v>
      </c>
      <c r="H107" s="4" t="s">
        <v>24</v>
      </c>
      <c r="I107" s="4" t="s">
        <v>25</v>
      </c>
      <c r="J107" s="4" t="s">
        <v>26</v>
      </c>
      <c r="K107" s="7" t="n">
        <v>45777</v>
      </c>
      <c r="L107" s="7" t="n">
        <v>46142</v>
      </c>
      <c r="M107" s="8" t="n">
        <f aca="false">DATEDIF(K107,L107,"m")</f>
        <v>12</v>
      </c>
      <c r="N107" s="8" t="n">
        <f aca="false">DATEDIF(E107,L107,"m")</f>
        <v>7</v>
      </c>
      <c r="O107" s="12" t="n">
        <v>1663</v>
      </c>
      <c r="P107" s="12" t="n">
        <f aca="false">O107/12</f>
        <v>138.583333333333</v>
      </c>
      <c r="Q107" s="4" t="n">
        <v>1</v>
      </c>
      <c r="R107" s="10" t="n">
        <f aca="false">IF(N107&lt;=12,N107*P107,O107)</f>
        <v>970.083333333333</v>
      </c>
      <c r="S107" s="4" t="s">
        <v>27</v>
      </c>
    </row>
    <row r="108" customFormat="false" ht="15" hidden="false" customHeight="false" outlineLevel="0" collapsed="false">
      <c r="A108" s="4" t="s">
        <v>28</v>
      </c>
      <c r="B108" s="4" t="s">
        <v>398</v>
      </c>
      <c r="C108" s="4" t="s">
        <v>399</v>
      </c>
      <c r="D108" s="11" t="s">
        <v>400</v>
      </c>
      <c r="E108" s="5" t="n">
        <f aca="false">DATEVALUE(LEFT(D108,10))</f>
        <v>44970</v>
      </c>
      <c r="F108" s="4" t="s">
        <v>141</v>
      </c>
      <c r="G108" s="15" t="s">
        <v>380</v>
      </c>
      <c r="H108" s="4" t="s">
        <v>24</v>
      </c>
      <c r="I108" s="4" t="s">
        <v>37</v>
      </c>
      <c r="J108" s="4" t="s">
        <v>38</v>
      </c>
      <c r="K108" s="7" t="n">
        <v>45944</v>
      </c>
      <c r="L108" s="7" t="n">
        <v>46309</v>
      </c>
      <c r="M108" s="8" t="n">
        <f aca="false">DATEDIF(K108,L108,"m")</f>
        <v>12</v>
      </c>
      <c r="N108" s="8" t="n">
        <f aca="false">DATEDIF(E108,L108,"m")</f>
        <v>44</v>
      </c>
      <c r="O108" s="12" t="n">
        <v>298.8</v>
      </c>
      <c r="P108" s="9" t="n">
        <f aca="false">O108/M108</f>
        <v>24.9</v>
      </c>
      <c r="Q108" s="4" t="n">
        <v>1</v>
      </c>
      <c r="R108" s="10" t="n">
        <f aca="false">IF(N108&lt;=12,N108*P108,O108)</f>
        <v>298.8</v>
      </c>
      <c r="S108" s="4" t="s">
        <v>27</v>
      </c>
    </row>
    <row r="109" customFormat="false" ht="15" hidden="false" customHeight="false" outlineLevel="0" collapsed="false">
      <c r="A109" s="4" t="s">
        <v>28</v>
      </c>
      <c r="B109" s="4" t="s">
        <v>398</v>
      </c>
      <c r="C109" s="4" t="s">
        <v>401</v>
      </c>
      <c r="D109" s="4" t="s">
        <v>402</v>
      </c>
      <c r="E109" s="5" t="n">
        <f aca="false">DATEVALUE(LEFT(D109,10))</f>
        <v>45924</v>
      </c>
      <c r="F109" s="4" t="s">
        <v>141</v>
      </c>
      <c r="G109" s="15" t="s">
        <v>380</v>
      </c>
      <c r="H109" s="4" t="s">
        <v>24</v>
      </c>
      <c r="I109" s="4" t="s">
        <v>25</v>
      </c>
      <c r="J109" s="4" t="s">
        <v>26</v>
      </c>
      <c r="K109" s="7" t="n">
        <v>45777</v>
      </c>
      <c r="L109" s="7" t="n">
        <v>46142</v>
      </c>
      <c r="M109" s="8" t="n">
        <f aca="false">DATEDIF(K109,L109,"m")</f>
        <v>12</v>
      </c>
      <c r="N109" s="8" t="n">
        <f aca="false">DATEDIF(E109,L109,"m")</f>
        <v>7</v>
      </c>
      <c r="O109" s="9" t="n">
        <v>1498</v>
      </c>
      <c r="P109" s="12" t="n">
        <f aca="false">O109/12</f>
        <v>124.833333333333</v>
      </c>
      <c r="Q109" s="4" t="n">
        <v>1</v>
      </c>
      <c r="R109" s="10" t="n">
        <f aca="false">IF(N109&lt;=12,N109*P109,O109)</f>
        <v>873.833333333333</v>
      </c>
      <c r="S109" s="4" t="s">
        <v>27</v>
      </c>
    </row>
    <row r="110" customFormat="false" ht="15" hidden="false" customHeight="false" outlineLevel="0" collapsed="false">
      <c r="A110" s="4" t="s">
        <v>28</v>
      </c>
      <c r="B110" s="4" t="s">
        <v>403</v>
      </c>
      <c r="C110" s="4" t="s">
        <v>404</v>
      </c>
      <c r="D110" s="11" t="s">
        <v>405</v>
      </c>
      <c r="E110" s="5" t="n">
        <f aca="false">DATEVALUE(LEFT(D110,10))</f>
        <v>45838</v>
      </c>
      <c r="F110" s="4" t="s">
        <v>294</v>
      </c>
      <c r="G110" s="15" t="s">
        <v>69</v>
      </c>
      <c r="H110" s="4" t="s">
        <v>24</v>
      </c>
      <c r="I110" s="4" t="s">
        <v>37</v>
      </c>
      <c r="J110" s="4" t="s">
        <v>38</v>
      </c>
      <c r="K110" s="7" t="n">
        <v>45944</v>
      </c>
      <c r="L110" s="7" t="n">
        <v>46309</v>
      </c>
      <c r="M110" s="8" t="n">
        <f aca="false">DATEDIF(K110,L110,"m")</f>
        <v>12</v>
      </c>
      <c r="N110" s="8" t="n">
        <f aca="false">DATEDIF(E110,L110,"m")</f>
        <v>15</v>
      </c>
      <c r="O110" s="12" t="n">
        <v>298.8</v>
      </c>
      <c r="P110" s="9" t="n">
        <f aca="false">O110/M110</f>
        <v>24.9</v>
      </c>
      <c r="Q110" s="4" t="n">
        <v>1</v>
      </c>
      <c r="R110" s="10" t="n">
        <f aca="false">IF(N110&lt;=12,N110*P110,O110)</f>
        <v>298.8</v>
      </c>
      <c r="S110" s="4" t="s">
        <v>27</v>
      </c>
    </row>
    <row r="111" customFormat="false" ht="15" hidden="false" customHeight="false" outlineLevel="0" collapsed="false">
      <c r="A111" s="4" t="s">
        <v>28</v>
      </c>
      <c r="B111" s="4" t="s">
        <v>406</v>
      </c>
      <c r="C111" s="4" t="s">
        <v>407</v>
      </c>
      <c r="D111" s="11" t="s">
        <v>408</v>
      </c>
      <c r="E111" s="5" t="n">
        <f aca="false">DATEVALUE(LEFT(D111,10))</f>
        <v>44855</v>
      </c>
      <c r="F111" s="4" t="s">
        <v>409</v>
      </c>
      <c r="G111" s="4" t="s">
        <v>53</v>
      </c>
      <c r="H111" s="4" t="s">
        <v>24</v>
      </c>
      <c r="I111" s="4" t="s">
        <v>25</v>
      </c>
      <c r="J111" s="4" t="s">
        <v>26</v>
      </c>
      <c r="K111" s="7" t="n">
        <v>45777</v>
      </c>
      <c r="L111" s="7" t="n">
        <v>46142</v>
      </c>
      <c r="M111" s="8" t="n">
        <f aca="false">DATEDIF(K111,L111,"m")</f>
        <v>12</v>
      </c>
      <c r="N111" s="8" t="n">
        <f aca="false">DATEDIF(E111,L111,"m")</f>
        <v>42</v>
      </c>
      <c r="O111" s="12" t="n">
        <v>1663</v>
      </c>
      <c r="P111" s="12" t="n">
        <f aca="false">O111/12</f>
        <v>138.583333333333</v>
      </c>
      <c r="Q111" s="4" t="n">
        <v>1</v>
      </c>
      <c r="R111" s="10" t="n">
        <f aca="false">IF(N111&lt;=12,N111*P111,O111)</f>
        <v>1663</v>
      </c>
      <c r="S111" s="4" t="s">
        <v>27</v>
      </c>
    </row>
    <row r="112" customFormat="false" ht="15" hidden="false" customHeight="false" outlineLevel="0" collapsed="false">
      <c r="A112" s="4" t="s">
        <v>28</v>
      </c>
      <c r="B112" s="4" t="s">
        <v>410</v>
      </c>
      <c r="C112" s="4" t="s">
        <v>411</v>
      </c>
      <c r="D112" s="11" t="s">
        <v>412</v>
      </c>
      <c r="E112" s="5" t="n">
        <f aca="false">DATEVALUE(LEFT(D112,10))</f>
        <v>45265</v>
      </c>
      <c r="F112" s="4" t="s">
        <v>413</v>
      </c>
      <c r="G112" s="15" t="s">
        <v>414</v>
      </c>
      <c r="H112" s="4" t="s">
        <v>24</v>
      </c>
      <c r="I112" s="4" t="s">
        <v>37</v>
      </c>
      <c r="J112" s="4" t="s">
        <v>38</v>
      </c>
      <c r="K112" s="7" t="n">
        <v>45944</v>
      </c>
      <c r="L112" s="7" t="n">
        <v>46309</v>
      </c>
      <c r="M112" s="8" t="n">
        <f aca="false">DATEDIF(K112,L112,"m")</f>
        <v>12</v>
      </c>
      <c r="N112" s="8" t="n">
        <f aca="false">DATEDIF(E112,L112,"m")</f>
        <v>34</v>
      </c>
      <c r="O112" s="12" t="n">
        <v>298.8</v>
      </c>
      <c r="P112" s="9" t="n">
        <f aca="false">O112/M112</f>
        <v>24.9</v>
      </c>
      <c r="Q112" s="4" t="n">
        <v>1</v>
      </c>
      <c r="R112" s="10" t="n">
        <f aca="false">IF(N112&lt;=12,N112*P112,O112)</f>
        <v>298.8</v>
      </c>
      <c r="S112" s="4" t="s">
        <v>27</v>
      </c>
    </row>
    <row r="113" customFormat="false" ht="15" hidden="false" customHeight="false" outlineLevel="0" collapsed="false">
      <c r="A113" s="4" t="s">
        <v>98</v>
      </c>
      <c r="B113" s="4" t="s">
        <v>415</v>
      </c>
      <c r="C113" s="4" t="s">
        <v>416</v>
      </c>
      <c r="D113" s="4" t="s">
        <v>417</v>
      </c>
      <c r="E113" s="5" t="n">
        <f aca="false">DATEVALUE(LEFT(D113,10))</f>
        <v>44855</v>
      </c>
      <c r="F113" s="4" t="s">
        <v>259</v>
      </c>
      <c r="G113" s="15" t="s">
        <v>418</v>
      </c>
      <c r="H113" s="4" t="s">
        <v>104</v>
      </c>
      <c r="I113" s="4" t="s">
        <v>25</v>
      </c>
      <c r="J113" s="4" t="s">
        <v>38</v>
      </c>
      <c r="K113" s="7" t="n">
        <v>45839</v>
      </c>
      <c r="L113" s="7" t="n">
        <v>46204</v>
      </c>
      <c r="M113" s="8" t="n">
        <f aca="false">DATEDIF(K113,L113,"m")</f>
        <v>12</v>
      </c>
      <c r="N113" s="8" t="n">
        <f aca="false">DATEDIF(E113,L113,"m")</f>
        <v>44</v>
      </c>
      <c r="O113" s="9" t="n">
        <v>1498.8</v>
      </c>
      <c r="P113" s="9" t="n">
        <f aca="false">O113/M113</f>
        <v>124.9</v>
      </c>
      <c r="Q113" s="4" t="n">
        <v>1</v>
      </c>
      <c r="R113" s="10" t="n">
        <f aca="false">IF(N113&lt;=12,N113*P113,O113)</f>
        <v>1498.8</v>
      </c>
      <c r="S113" s="4" t="s">
        <v>27</v>
      </c>
    </row>
    <row r="114" customFormat="false" ht="15" hidden="false" customHeight="false" outlineLevel="0" collapsed="false">
      <c r="A114" s="4" t="s">
        <v>28</v>
      </c>
      <c r="B114" s="4" t="s">
        <v>419</v>
      </c>
      <c r="C114" s="4" t="s">
        <v>420</v>
      </c>
      <c r="D114" s="11" t="s">
        <v>421</v>
      </c>
      <c r="E114" s="5" t="n">
        <f aca="false">DATEVALUE(LEFT(D114,10))</f>
        <v>45182</v>
      </c>
      <c r="F114" s="4" t="s">
        <v>141</v>
      </c>
      <c r="G114" s="15" t="s">
        <v>142</v>
      </c>
      <c r="H114" s="4" t="s">
        <v>24</v>
      </c>
      <c r="I114" s="4" t="s">
        <v>37</v>
      </c>
      <c r="J114" s="4" t="s">
        <v>38</v>
      </c>
      <c r="K114" s="7" t="n">
        <v>45944</v>
      </c>
      <c r="L114" s="7" t="n">
        <v>46309</v>
      </c>
      <c r="M114" s="8" t="n">
        <f aca="false">DATEDIF(K114,L114,"m")</f>
        <v>12</v>
      </c>
      <c r="N114" s="8" t="n">
        <f aca="false">DATEDIF(E114,L114,"m")</f>
        <v>37</v>
      </c>
      <c r="O114" s="12" t="n">
        <v>298.8</v>
      </c>
      <c r="P114" s="9" t="n">
        <f aca="false">O114/M114</f>
        <v>24.9</v>
      </c>
      <c r="Q114" s="4" t="n">
        <v>1</v>
      </c>
      <c r="R114" s="10" t="n">
        <f aca="false">IF(N114&lt;=12,N114*P114,O114)</f>
        <v>298.8</v>
      </c>
      <c r="S114" s="4" t="s">
        <v>27</v>
      </c>
    </row>
    <row r="115" customFormat="false" ht="15" hidden="false" customHeight="false" outlineLevel="0" collapsed="false">
      <c r="A115" s="4" t="s">
        <v>28</v>
      </c>
      <c r="B115" s="4" t="s">
        <v>422</v>
      </c>
      <c r="C115" s="4" t="s">
        <v>423</v>
      </c>
      <c r="D115" s="11" t="s">
        <v>424</v>
      </c>
      <c r="E115" s="5" t="n">
        <f aca="false">DATEVALUE(LEFT(D115,10))</f>
        <v>44855</v>
      </c>
      <c r="F115" s="4" t="s">
        <v>91</v>
      </c>
      <c r="G115" s="15" t="s">
        <v>92</v>
      </c>
      <c r="H115" s="4" t="s">
        <v>24</v>
      </c>
      <c r="I115" s="4" t="s">
        <v>25</v>
      </c>
      <c r="J115" s="4" t="s">
        <v>26</v>
      </c>
      <c r="K115" s="7" t="n">
        <v>45777</v>
      </c>
      <c r="L115" s="7" t="n">
        <v>46142</v>
      </c>
      <c r="M115" s="8" t="n">
        <f aca="false">DATEDIF(K115,L115,"m")</f>
        <v>12</v>
      </c>
      <c r="N115" s="8" t="n">
        <f aca="false">DATEDIF(E115,L115,"m")</f>
        <v>42</v>
      </c>
      <c r="O115" s="12" t="n">
        <v>1663</v>
      </c>
      <c r="P115" s="12" t="n">
        <f aca="false">O115/12</f>
        <v>138.583333333333</v>
      </c>
      <c r="Q115" s="4" t="n">
        <v>1</v>
      </c>
      <c r="R115" s="10" t="n">
        <f aca="false">IF(N115&lt;=12,N115*P115,O115)</f>
        <v>1663</v>
      </c>
      <c r="S115" s="4" t="s">
        <v>27</v>
      </c>
    </row>
    <row r="116" customFormat="false" ht="15" hidden="false" customHeight="false" outlineLevel="0" collapsed="false">
      <c r="A116" s="4" t="s">
        <v>28</v>
      </c>
      <c r="B116" s="4" t="s">
        <v>422</v>
      </c>
      <c r="C116" s="4" t="s">
        <v>423</v>
      </c>
      <c r="D116" s="11" t="s">
        <v>424</v>
      </c>
      <c r="E116" s="5" t="n">
        <f aca="false">DATEVALUE(LEFT(D116,10))</f>
        <v>44855</v>
      </c>
      <c r="F116" s="4" t="s">
        <v>91</v>
      </c>
      <c r="G116" s="13" t="s">
        <v>92</v>
      </c>
      <c r="H116" s="4" t="s">
        <v>24</v>
      </c>
      <c r="I116" s="4" t="s">
        <v>37</v>
      </c>
      <c r="J116" s="4" t="s">
        <v>38</v>
      </c>
      <c r="K116" s="7" t="n">
        <v>45944</v>
      </c>
      <c r="L116" s="7" t="n">
        <v>46309</v>
      </c>
      <c r="M116" s="8" t="n">
        <f aca="false">DATEDIF(K116,L116,"m")</f>
        <v>12</v>
      </c>
      <c r="N116" s="8" t="n">
        <f aca="false">DATEDIF(E116,L116,"m")</f>
        <v>47</v>
      </c>
      <c r="O116" s="12" t="n">
        <v>298.8</v>
      </c>
      <c r="P116" s="9" t="n">
        <f aca="false">O116/M116</f>
        <v>24.9</v>
      </c>
      <c r="Q116" s="4" t="n">
        <v>1</v>
      </c>
      <c r="R116" s="10" t="n">
        <f aca="false">IF(N116&lt;=12,N116*P116,O116)</f>
        <v>298.8</v>
      </c>
      <c r="S116" s="4" t="s">
        <v>27</v>
      </c>
    </row>
    <row r="117" customFormat="false" ht="15" hidden="false" customHeight="false" outlineLevel="0" collapsed="false">
      <c r="A117" s="4" t="s">
        <v>28</v>
      </c>
      <c r="B117" s="4" t="s">
        <v>425</v>
      </c>
      <c r="C117" s="4" t="s">
        <v>426</v>
      </c>
      <c r="D117" s="11" t="s">
        <v>427</v>
      </c>
      <c r="E117" s="5" t="n">
        <f aca="false">DATEVALUE(LEFT(D117,10))</f>
        <v>44855</v>
      </c>
      <c r="F117" s="4" t="s">
        <v>108</v>
      </c>
      <c r="G117" s="15" t="s">
        <v>109</v>
      </c>
      <c r="H117" s="4" t="s">
        <v>24</v>
      </c>
      <c r="I117" s="4" t="s">
        <v>25</v>
      </c>
      <c r="J117" s="4" t="s">
        <v>26</v>
      </c>
      <c r="K117" s="7" t="n">
        <v>45777</v>
      </c>
      <c r="L117" s="7" t="n">
        <v>46142</v>
      </c>
      <c r="M117" s="8" t="n">
        <f aca="false">DATEDIF(K117,L117,"m")</f>
        <v>12</v>
      </c>
      <c r="N117" s="8" t="n">
        <f aca="false">DATEDIF(E117,L117,"m")</f>
        <v>42</v>
      </c>
      <c r="O117" s="12" t="n">
        <v>1663</v>
      </c>
      <c r="P117" s="12" t="n">
        <f aca="false">O117/12</f>
        <v>138.583333333333</v>
      </c>
      <c r="Q117" s="4" t="n">
        <v>1</v>
      </c>
      <c r="R117" s="10" t="n">
        <f aca="false">IF(N117&lt;=12,N117*P117,O117)</f>
        <v>1663</v>
      </c>
      <c r="S117" s="4" t="s">
        <v>27</v>
      </c>
    </row>
    <row r="118" customFormat="false" ht="15" hidden="false" customHeight="false" outlineLevel="0" collapsed="false">
      <c r="A118" s="4" t="s">
        <v>98</v>
      </c>
      <c r="B118" s="4" t="s">
        <v>428</v>
      </c>
      <c r="C118" s="4" t="s">
        <v>429</v>
      </c>
      <c r="D118" s="4" t="s">
        <v>430</v>
      </c>
      <c r="E118" s="5" t="n">
        <f aca="false">DATEVALUE(LEFT(D118,10))</f>
        <v>45435</v>
      </c>
      <c r="F118" s="4" t="s">
        <v>259</v>
      </c>
      <c r="G118" s="4" t="s">
        <v>431</v>
      </c>
      <c r="H118" s="4" t="s">
        <v>104</v>
      </c>
      <c r="I118" s="4" t="s">
        <v>25</v>
      </c>
      <c r="J118" s="4" t="s">
        <v>38</v>
      </c>
      <c r="K118" s="7" t="n">
        <v>45839</v>
      </c>
      <c r="L118" s="7" t="n">
        <v>46204</v>
      </c>
      <c r="M118" s="8" t="n">
        <f aca="false">DATEDIF(K118,L118,"m")</f>
        <v>12</v>
      </c>
      <c r="N118" s="8" t="n">
        <f aca="false">DATEDIF(E118,L118,"m")</f>
        <v>25</v>
      </c>
      <c r="O118" s="9" t="n">
        <v>1498.8</v>
      </c>
      <c r="P118" s="9" t="n">
        <f aca="false">O118/M118</f>
        <v>124.9</v>
      </c>
      <c r="Q118" s="4" t="n">
        <v>1</v>
      </c>
      <c r="R118" s="10" t="n">
        <f aca="false">IF(N118&lt;=12,N118*P118,O118)</f>
        <v>1498.8</v>
      </c>
      <c r="S118" s="4" t="s">
        <v>27</v>
      </c>
    </row>
    <row r="119" customFormat="false" ht="15" hidden="false" customHeight="false" outlineLevel="0" collapsed="false">
      <c r="A119" s="4" t="s">
        <v>28</v>
      </c>
      <c r="B119" s="4" t="s">
        <v>432</v>
      </c>
      <c r="C119" s="4" t="s">
        <v>433</v>
      </c>
      <c r="D119" s="11" t="s">
        <v>434</v>
      </c>
      <c r="E119" s="5" t="n">
        <f aca="false">DATEVALUE(LEFT(D119,10))</f>
        <v>45898</v>
      </c>
      <c r="F119" s="4" t="s">
        <v>186</v>
      </c>
      <c r="G119" s="15" t="s">
        <v>209</v>
      </c>
      <c r="H119" s="4" t="s">
        <v>24</v>
      </c>
      <c r="I119" s="4" t="s">
        <v>25</v>
      </c>
      <c r="J119" s="4" t="s">
        <v>26</v>
      </c>
      <c r="K119" s="7" t="n">
        <v>45777</v>
      </c>
      <c r="L119" s="7" t="n">
        <v>46142</v>
      </c>
      <c r="M119" s="8" t="n">
        <f aca="false">DATEDIF(K119,L119,"m")</f>
        <v>12</v>
      </c>
      <c r="N119" s="8" t="n">
        <f aca="false">DATEDIF(E119,L119,"m")</f>
        <v>8</v>
      </c>
      <c r="O119" s="12" t="n">
        <v>1663</v>
      </c>
      <c r="P119" s="12" t="n">
        <f aca="false">O119/12</f>
        <v>138.583333333333</v>
      </c>
      <c r="Q119" s="4" t="n">
        <v>1</v>
      </c>
      <c r="R119" s="10" t="n">
        <f aca="false">IF(N119&lt;=12,N119*P119,O119)</f>
        <v>1108.66666666667</v>
      </c>
      <c r="S119" s="4" t="s">
        <v>27</v>
      </c>
    </row>
    <row r="120" customFormat="false" ht="15" hidden="false" customHeight="false" outlineLevel="0" collapsed="false">
      <c r="A120" s="4" t="s">
        <v>28</v>
      </c>
      <c r="B120" s="4" t="s">
        <v>435</v>
      </c>
      <c r="C120" s="4" t="s">
        <v>436</v>
      </c>
      <c r="D120" s="11" t="s">
        <v>437</v>
      </c>
      <c r="E120" s="5" t="n">
        <f aca="false">DATEVALUE(LEFT(D120,10))</f>
        <v>45882</v>
      </c>
      <c r="F120" s="4" t="s">
        <v>42</v>
      </c>
      <c r="G120" s="15" t="s">
        <v>177</v>
      </c>
      <c r="H120" s="4" t="s">
        <v>24</v>
      </c>
      <c r="I120" s="4" t="s">
        <v>25</v>
      </c>
      <c r="J120" s="4" t="s">
        <v>26</v>
      </c>
      <c r="K120" s="7" t="n">
        <v>45777</v>
      </c>
      <c r="L120" s="7" t="n">
        <v>46142</v>
      </c>
      <c r="M120" s="8" t="n">
        <f aca="false">DATEDIF(K120,L120,"m")</f>
        <v>12</v>
      </c>
      <c r="N120" s="8" t="n">
        <f aca="false">DATEDIF(E120,L120,"m")</f>
        <v>8</v>
      </c>
      <c r="O120" s="12" t="n">
        <v>1663</v>
      </c>
      <c r="P120" s="12" t="n">
        <f aca="false">O120/12</f>
        <v>138.583333333333</v>
      </c>
      <c r="Q120" s="4" t="n">
        <v>1</v>
      </c>
      <c r="R120" s="10" t="n">
        <f aca="false">IF(N120&lt;=12,N120*P120,O120)</f>
        <v>1108.66666666667</v>
      </c>
      <c r="S120" s="4" t="s">
        <v>27</v>
      </c>
    </row>
    <row r="121" customFormat="false" ht="15" hidden="false" customHeight="false" outlineLevel="0" collapsed="false">
      <c r="A121" s="4" t="s">
        <v>28</v>
      </c>
      <c r="B121" s="4" t="s">
        <v>438</v>
      </c>
      <c r="C121" s="4" t="s">
        <v>439</v>
      </c>
      <c r="D121" s="11" t="s">
        <v>440</v>
      </c>
      <c r="E121" s="5" t="n">
        <f aca="false">DATEVALUE(LEFT(D121,10))</f>
        <v>45120</v>
      </c>
      <c r="F121" s="4" t="s">
        <v>259</v>
      </c>
      <c r="G121" s="15" t="s">
        <v>441</v>
      </c>
      <c r="H121" s="4" t="s">
        <v>24</v>
      </c>
      <c r="I121" s="4" t="s">
        <v>25</v>
      </c>
      <c r="J121" s="4" t="s">
        <v>26</v>
      </c>
      <c r="K121" s="7" t="n">
        <v>45777</v>
      </c>
      <c r="L121" s="7" t="n">
        <v>46142</v>
      </c>
      <c r="M121" s="8" t="n">
        <f aca="false">DATEDIF(K121,L121,"m")</f>
        <v>12</v>
      </c>
      <c r="N121" s="8" t="n">
        <f aca="false">DATEDIF(E121,L121,"m")</f>
        <v>33</v>
      </c>
      <c r="O121" s="12" t="n">
        <v>1663</v>
      </c>
      <c r="P121" s="12" t="n">
        <f aca="false">O121/12</f>
        <v>138.583333333333</v>
      </c>
      <c r="Q121" s="4" t="n">
        <v>1</v>
      </c>
      <c r="R121" s="10" t="n">
        <f aca="false">IF(N121&lt;=12,N121*P121,O121)</f>
        <v>1663</v>
      </c>
      <c r="S121" s="4" t="s">
        <v>27</v>
      </c>
    </row>
    <row r="122" customFormat="false" ht="15" hidden="false" customHeight="false" outlineLevel="0" collapsed="false">
      <c r="A122" s="4" t="s">
        <v>28</v>
      </c>
      <c r="B122" s="4" t="s">
        <v>442</v>
      </c>
      <c r="C122" s="4" t="s">
        <v>443</v>
      </c>
      <c r="D122" s="11" t="s">
        <v>444</v>
      </c>
      <c r="E122" s="5" t="n">
        <f aca="false">DATEVALUE(LEFT(D122,10))</f>
        <v>44855</v>
      </c>
      <c r="F122" s="4" t="s">
        <v>141</v>
      </c>
      <c r="G122" s="15" t="s">
        <v>445</v>
      </c>
      <c r="H122" s="4" t="s">
        <v>24</v>
      </c>
      <c r="I122" s="4" t="s">
        <v>25</v>
      </c>
      <c r="J122" s="4" t="s">
        <v>26</v>
      </c>
      <c r="K122" s="7" t="n">
        <v>45777</v>
      </c>
      <c r="L122" s="7" t="n">
        <v>46142</v>
      </c>
      <c r="M122" s="8" t="n">
        <f aca="false">DATEDIF(K122,L122,"m")</f>
        <v>12</v>
      </c>
      <c r="N122" s="8" t="n">
        <f aca="false">DATEDIF(E122,L122,"m")</f>
        <v>42</v>
      </c>
      <c r="O122" s="12" t="n">
        <v>1663</v>
      </c>
      <c r="P122" s="12" t="n">
        <f aca="false">O122/12</f>
        <v>138.583333333333</v>
      </c>
      <c r="Q122" s="4" t="n">
        <v>1</v>
      </c>
      <c r="R122" s="10" t="n">
        <f aca="false">IF(N122&lt;=12,N122*P122,O122)</f>
        <v>1663</v>
      </c>
      <c r="S122" s="4" t="s">
        <v>27</v>
      </c>
    </row>
    <row r="123" customFormat="false" ht="15" hidden="false" customHeight="false" outlineLevel="0" collapsed="false">
      <c r="A123" s="4" t="s">
        <v>28</v>
      </c>
      <c r="B123" s="4" t="s">
        <v>446</v>
      </c>
      <c r="C123" s="4" t="s">
        <v>447</v>
      </c>
      <c r="D123" s="4" t="s">
        <v>448</v>
      </c>
      <c r="E123" s="5" t="n">
        <f aca="false">DATEVALUE(LEFT(D123,10))</f>
        <v>45796</v>
      </c>
      <c r="F123" s="4" t="s">
        <v>181</v>
      </c>
      <c r="G123" s="15" t="s">
        <v>449</v>
      </c>
      <c r="H123" s="4" t="s">
        <v>24</v>
      </c>
      <c r="I123" s="4" t="s">
        <v>25</v>
      </c>
      <c r="J123" s="4" t="s">
        <v>26</v>
      </c>
      <c r="K123" s="7" t="n">
        <v>45777</v>
      </c>
      <c r="L123" s="7" t="n">
        <v>46142</v>
      </c>
      <c r="M123" s="8" t="n">
        <f aca="false">DATEDIF(K123,L123,"m")</f>
        <v>12</v>
      </c>
      <c r="N123" s="8" t="n">
        <f aca="false">DATEDIF(E123,L123,"m")</f>
        <v>11</v>
      </c>
      <c r="O123" s="9" t="n">
        <v>1498</v>
      </c>
      <c r="P123" s="12" t="n">
        <f aca="false">O123/12</f>
        <v>124.833333333333</v>
      </c>
      <c r="Q123" s="4" t="n">
        <v>1</v>
      </c>
      <c r="R123" s="10" t="n">
        <f aca="false">IF(N123&lt;=12,N123*P123,O123)</f>
        <v>1373.16666666667</v>
      </c>
      <c r="S123" s="4" t="s">
        <v>27</v>
      </c>
    </row>
    <row r="124" customFormat="false" ht="15" hidden="false" customHeight="false" outlineLevel="0" collapsed="false">
      <c r="A124" s="4" t="s">
        <v>28</v>
      </c>
      <c r="B124" s="4" t="s">
        <v>446</v>
      </c>
      <c r="C124" s="4" t="s">
        <v>447</v>
      </c>
      <c r="D124" s="4" t="s">
        <v>448</v>
      </c>
      <c r="E124" s="5" t="n">
        <f aca="false">DATEVALUE(LEFT(D124,10))</f>
        <v>45796</v>
      </c>
      <c r="F124" s="4" t="s">
        <v>181</v>
      </c>
      <c r="G124" s="15" t="s">
        <v>449</v>
      </c>
      <c r="H124" s="4" t="s">
        <v>24</v>
      </c>
      <c r="I124" s="4" t="s">
        <v>80</v>
      </c>
      <c r="J124" s="4" t="s">
        <v>38</v>
      </c>
      <c r="K124" s="7" t="n">
        <v>45997</v>
      </c>
      <c r="L124" s="7" t="n">
        <v>46362</v>
      </c>
      <c r="M124" s="8" t="n">
        <f aca="false">DATEDIF(K124,L124,"m")</f>
        <v>12</v>
      </c>
      <c r="N124" s="8" t="n">
        <f aca="false">DATEDIF(E124,L124,"m")</f>
        <v>18</v>
      </c>
      <c r="O124" s="16" t="n">
        <v>542.8</v>
      </c>
      <c r="P124" s="12" t="n">
        <f aca="false">O124/12</f>
        <v>45.2333333333333</v>
      </c>
      <c r="Q124" s="4" t="n">
        <v>1</v>
      </c>
      <c r="R124" s="10" t="n">
        <f aca="false">IF(N124&lt;=12,N124*P124,O124)</f>
        <v>542.8</v>
      </c>
      <c r="S124" s="4" t="s">
        <v>27</v>
      </c>
    </row>
    <row r="125" customFormat="false" ht="15" hidden="false" customHeight="false" outlineLevel="0" collapsed="false">
      <c r="A125" s="4" t="s">
        <v>28</v>
      </c>
      <c r="B125" s="4" t="s">
        <v>450</v>
      </c>
      <c r="C125" s="4" t="s">
        <v>451</v>
      </c>
      <c r="D125" s="11" t="s">
        <v>452</v>
      </c>
      <c r="E125" s="5" t="n">
        <f aca="false">DATEVALUE(LEFT(D125,10))</f>
        <v>45454</v>
      </c>
      <c r="F125" s="4" t="s">
        <v>186</v>
      </c>
      <c r="G125" s="15" t="s">
        <v>187</v>
      </c>
      <c r="H125" s="4" t="s">
        <v>24</v>
      </c>
      <c r="I125" s="4" t="s">
        <v>80</v>
      </c>
      <c r="J125" s="4" t="s">
        <v>38</v>
      </c>
      <c r="K125" s="7" t="n">
        <v>45997</v>
      </c>
      <c r="L125" s="7" t="n">
        <v>46362</v>
      </c>
      <c r="M125" s="8" t="n">
        <f aca="false">DATEDIF(K125,L125,"m")</f>
        <v>12</v>
      </c>
      <c r="N125" s="8" t="n">
        <f aca="false">DATEDIF(E125,L125,"m")</f>
        <v>29</v>
      </c>
      <c r="O125" s="16" t="n">
        <v>542.8</v>
      </c>
      <c r="P125" s="12" t="n">
        <f aca="false">O125/12</f>
        <v>45.2333333333333</v>
      </c>
      <c r="Q125" s="4" t="n">
        <v>1</v>
      </c>
      <c r="R125" s="10" t="n">
        <f aca="false">IF(N125&lt;=12,N125*P125,O125)</f>
        <v>542.8</v>
      </c>
      <c r="S125" s="4" t="s">
        <v>27</v>
      </c>
    </row>
    <row r="126" customFormat="false" ht="15" hidden="false" customHeight="false" outlineLevel="0" collapsed="false">
      <c r="A126" s="4" t="s">
        <v>98</v>
      </c>
      <c r="B126" s="4" t="s">
        <v>453</v>
      </c>
      <c r="C126" s="4" t="s">
        <v>454</v>
      </c>
      <c r="D126" s="4" t="s">
        <v>455</v>
      </c>
      <c r="E126" s="5" t="n">
        <f aca="false">DATEVALUE(LEFT(D126,10))</f>
        <v>45840</v>
      </c>
      <c r="F126" s="4" t="s">
        <v>42</v>
      </c>
      <c r="G126" s="15" t="s">
        <v>177</v>
      </c>
      <c r="H126" s="4" t="s">
        <v>104</v>
      </c>
      <c r="I126" s="4" t="s">
        <v>25</v>
      </c>
      <c r="J126" s="4" t="s">
        <v>38</v>
      </c>
      <c r="K126" s="7" t="n">
        <v>45839</v>
      </c>
      <c r="L126" s="7" t="n">
        <v>46204</v>
      </c>
      <c r="M126" s="8" t="n">
        <f aca="false">DATEDIF(K126,L126,"m")</f>
        <v>12</v>
      </c>
      <c r="N126" s="8" t="n">
        <f aca="false">DATEDIF(E126,L126,"m")</f>
        <v>11</v>
      </c>
      <c r="O126" s="9" t="n">
        <v>1498.8</v>
      </c>
      <c r="P126" s="12" t="n">
        <f aca="false">O126/12</f>
        <v>124.9</v>
      </c>
      <c r="Q126" s="4" t="n">
        <v>1</v>
      </c>
      <c r="R126" s="10" t="n">
        <f aca="false">IF(N126&lt;=12,N126*P126,O126)</f>
        <v>1373.9</v>
      </c>
      <c r="S126" s="4" t="s">
        <v>27</v>
      </c>
    </row>
    <row r="127" customFormat="false" ht="15" hidden="false" customHeight="false" outlineLevel="0" collapsed="false">
      <c r="A127" s="4" t="s">
        <v>98</v>
      </c>
      <c r="B127" s="4" t="s">
        <v>453</v>
      </c>
      <c r="C127" s="4" t="s">
        <v>454</v>
      </c>
      <c r="D127" s="4" t="s">
        <v>455</v>
      </c>
      <c r="E127" s="5" t="n">
        <f aca="false">DATEVALUE(LEFT(D127,10))</f>
        <v>45840</v>
      </c>
      <c r="F127" s="4" t="s">
        <v>42</v>
      </c>
      <c r="G127" s="15" t="s">
        <v>177</v>
      </c>
      <c r="H127" s="4" t="s">
        <v>104</v>
      </c>
      <c r="I127" s="4" t="s">
        <v>37</v>
      </c>
      <c r="J127" s="4" t="s">
        <v>38</v>
      </c>
      <c r="K127" s="7" t="n">
        <v>45944</v>
      </c>
      <c r="L127" s="7" t="n">
        <v>46309</v>
      </c>
      <c r="M127" s="8" t="n">
        <f aca="false">DATEDIF(K127,L127,"m")</f>
        <v>12</v>
      </c>
      <c r="N127" s="8" t="n">
        <f aca="false">DATEDIF(E127,L127,"m")</f>
        <v>15</v>
      </c>
      <c r="O127" s="9" t="n">
        <v>298.8</v>
      </c>
      <c r="P127" s="12" t="n">
        <f aca="false">O127/12</f>
        <v>24.9</v>
      </c>
      <c r="Q127" s="4" t="n">
        <v>1</v>
      </c>
      <c r="R127" s="10" t="n">
        <f aca="false">IF(N127&lt;=12,N127*P127,O127)</f>
        <v>298.8</v>
      </c>
      <c r="S127" s="4" t="s">
        <v>27</v>
      </c>
    </row>
    <row r="128" customFormat="false" ht="15" hidden="false" customHeight="false" outlineLevel="0" collapsed="false">
      <c r="A128" s="4" t="s">
        <v>28</v>
      </c>
      <c r="B128" s="4" t="s">
        <v>456</v>
      </c>
      <c r="C128" s="4" t="s">
        <v>457</v>
      </c>
      <c r="D128" s="11" t="s">
        <v>458</v>
      </c>
      <c r="E128" s="5" t="n">
        <f aca="false">DATEVALUE(LEFT(D128,10))</f>
        <v>45390</v>
      </c>
      <c r="F128" s="4" t="s">
        <v>42</v>
      </c>
      <c r="G128" s="15" t="s">
        <v>57</v>
      </c>
      <c r="H128" s="4" t="s">
        <v>24</v>
      </c>
      <c r="I128" s="4" t="s">
        <v>25</v>
      </c>
      <c r="J128" s="4" t="s">
        <v>26</v>
      </c>
      <c r="K128" s="7" t="n">
        <v>45777</v>
      </c>
      <c r="L128" s="7" t="n">
        <v>46142</v>
      </c>
      <c r="M128" s="8" t="n">
        <f aca="false">DATEDIF(K128,L128,"m")</f>
        <v>12</v>
      </c>
      <c r="N128" s="8" t="n">
        <f aca="false">DATEDIF(E128,L128,"m")</f>
        <v>24</v>
      </c>
      <c r="O128" s="12" t="n">
        <v>1663</v>
      </c>
      <c r="P128" s="12" t="n">
        <f aca="false">O128/12</f>
        <v>138.583333333333</v>
      </c>
      <c r="Q128" s="4" t="n">
        <v>1</v>
      </c>
      <c r="R128" s="10" t="n">
        <f aca="false">IF(N128&lt;=12,N128*P128,O128)</f>
        <v>1663</v>
      </c>
      <c r="S128" s="4" t="s">
        <v>27</v>
      </c>
    </row>
    <row r="129" customFormat="false" ht="15" hidden="false" customHeight="false" outlineLevel="0" collapsed="false">
      <c r="A129" s="4" t="s">
        <v>28</v>
      </c>
      <c r="B129" s="4" t="s">
        <v>459</v>
      </c>
      <c r="C129" s="4" t="s">
        <v>460</v>
      </c>
      <c r="D129" s="11" t="s">
        <v>461</v>
      </c>
      <c r="E129" s="5" t="n">
        <f aca="false">DATEVALUE(LEFT(D129,10))</f>
        <v>44855</v>
      </c>
      <c r="F129" s="4" t="s">
        <v>462</v>
      </c>
      <c r="G129" s="15" t="s">
        <v>137</v>
      </c>
      <c r="H129" s="4" t="s">
        <v>24</v>
      </c>
      <c r="I129" s="4" t="s">
        <v>25</v>
      </c>
      <c r="J129" s="4" t="s">
        <v>26</v>
      </c>
      <c r="K129" s="7" t="n">
        <v>45777</v>
      </c>
      <c r="L129" s="7" t="n">
        <v>46142</v>
      </c>
      <c r="M129" s="8" t="n">
        <f aca="false">DATEDIF(K129,L129,"m")</f>
        <v>12</v>
      </c>
      <c r="N129" s="8" t="n">
        <f aca="false">DATEDIF(E129,L129,"m")</f>
        <v>42</v>
      </c>
      <c r="O129" s="12" t="n">
        <v>1663</v>
      </c>
      <c r="P129" s="12" t="n">
        <f aca="false">O129/12</f>
        <v>138.583333333333</v>
      </c>
      <c r="Q129" s="4" t="n">
        <v>1</v>
      </c>
      <c r="R129" s="10" t="n">
        <f aca="false">IF(N129&lt;=12,N129*P129,O129)</f>
        <v>1663</v>
      </c>
      <c r="S129" s="4" t="s">
        <v>27</v>
      </c>
    </row>
    <row r="130" customFormat="false" ht="15" hidden="false" customHeight="false" outlineLevel="0" collapsed="false">
      <c r="A130" s="4" t="s">
        <v>28</v>
      </c>
      <c r="B130" s="4" t="s">
        <v>463</v>
      </c>
      <c r="C130" s="4" t="s">
        <v>464</v>
      </c>
      <c r="D130" s="11" t="s">
        <v>465</v>
      </c>
      <c r="E130" s="5" t="n">
        <f aca="false">DATEVALUE(LEFT(D130,10))</f>
        <v>44855</v>
      </c>
      <c r="F130" s="4" t="s">
        <v>141</v>
      </c>
      <c r="G130" s="15" t="s">
        <v>466</v>
      </c>
      <c r="H130" s="4" t="s">
        <v>24</v>
      </c>
      <c r="I130" s="4" t="s">
        <v>25</v>
      </c>
      <c r="J130" s="4" t="s">
        <v>26</v>
      </c>
      <c r="K130" s="7" t="n">
        <v>45777</v>
      </c>
      <c r="L130" s="7" t="n">
        <v>46142</v>
      </c>
      <c r="M130" s="8" t="n">
        <f aca="false">DATEDIF(K130,L130,"m")</f>
        <v>12</v>
      </c>
      <c r="N130" s="8" t="n">
        <f aca="false">DATEDIF(E130,L130,"m")</f>
        <v>42</v>
      </c>
      <c r="O130" s="12" t="n">
        <v>1663</v>
      </c>
      <c r="P130" s="12" t="n">
        <f aca="false">O130/12</f>
        <v>138.583333333333</v>
      </c>
      <c r="Q130" s="4" t="n">
        <v>1</v>
      </c>
      <c r="R130" s="10" t="n">
        <f aca="false">IF(N130&lt;=12,N130*P130,O130)</f>
        <v>1663</v>
      </c>
      <c r="S130" s="4" t="s">
        <v>27</v>
      </c>
    </row>
    <row r="131" customFormat="false" ht="15" hidden="false" customHeight="false" outlineLevel="0" collapsed="false">
      <c r="A131" s="4" t="s">
        <v>28</v>
      </c>
      <c r="B131" s="4" t="s">
        <v>467</v>
      </c>
      <c r="C131" s="4" t="s">
        <v>468</v>
      </c>
      <c r="D131" s="11" t="s">
        <v>469</v>
      </c>
      <c r="E131" s="5" t="n">
        <f aca="false">DATEVALUE(LEFT(D131,10))</f>
        <v>45561</v>
      </c>
      <c r="F131" s="4" t="s">
        <v>294</v>
      </c>
      <c r="G131" s="15" t="s">
        <v>69</v>
      </c>
      <c r="H131" s="4" t="s">
        <v>24</v>
      </c>
      <c r="I131" s="4" t="s">
        <v>37</v>
      </c>
      <c r="J131" s="4" t="s">
        <v>38</v>
      </c>
      <c r="K131" s="7" t="n">
        <v>45944</v>
      </c>
      <c r="L131" s="7" t="n">
        <v>46309</v>
      </c>
      <c r="M131" s="8" t="n">
        <f aca="false">DATEDIF(K131,L131,"m")</f>
        <v>12</v>
      </c>
      <c r="N131" s="8" t="n">
        <f aca="false">DATEDIF(E131,L131,"m")</f>
        <v>24</v>
      </c>
      <c r="O131" s="12" t="n">
        <v>298.8</v>
      </c>
      <c r="P131" s="9" t="n">
        <f aca="false">O131/M131</f>
        <v>24.9</v>
      </c>
      <c r="Q131" s="4" t="n">
        <v>1</v>
      </c>
      <c r="R131" s="10" t="n">
        <f aca="false">IF(N131&lt;=12,N131*P131,O131)</f>
        <v>298.8</v>
      </c>
      <c r="S131" s="4" t="s">
        <v>27</v>
      </c>
    </row>
    <row r="132" customFormat="false" ht="15" hidden="false" customHeight="false" outlineLevel="0" collapsed="false">
      <c r="A132" s="4" t="s">
        <v>28</v>
      </c>
      <c r="B132" s="4" t="s">
        <v>470</v>
      </c>
      <c r="C132" s="4" t="s">
        <v>471</v>
      </c>
      <c r="D132" s="11" t="s">
        <v>472</v>
      </c>
      <c r="E132" s="5" t="n">
        <f aca="false">DATEVALUE(LEFT(D132,10))</f>
        <v>45478</v>
      </c>
      <c r="F132" s="4" t="s">
        <v>141</v>
      </c>
      <c r="G132" s="15" t="s">
        <v>473</v>
      </c>
      <c r="H132" s="4" t="s">
        <v>24</v>
      </c>
      <c r="I132" s="4" t="s">
        <v>25</v>
      </c>
      <c r="J132" s="4" t="s">
        <v>26</v>
      </c>
      <c r="K132" s="7" t="n">
        <v>45777</v>
      </c>
      <c r="L132" s="7" t="n">
        <v>46142</v>
      </c>
      <c r="M132" s="8" t="n">
        <f aca="false">DATEDIF(K132,L132,"m")</f>
        <v>12</v>
      </c>
      <c r="N132" s="8" t="n">
        <f aca="false">DATEDIF(E132,L132,"m")</f>
        <v>21</v>
      </c>
      <c r="O132" s="12" t="n">
        <v>1663</v>
      </c>
      <c r="P132" s="12" t="n">
        <f aca="false">O132/12</f>
        <v>138.583333333333</v>
      </c>
      <c r="Q132" s="4" t="n">
        <v>1</v>
      </c>
      <c r="R132" s="10" t="n">
        <f aca="false">IF(N132&lt;=12,N132*P132,O132)</f>
        <v>1663</v>
      </c>
      <c r="S132" s="4" t="s">
        <v>27</v>
      </c>
    </row>
    <row r="133" customFormat="false" ht="15" hidden="false" customHeight="false" outlineLevel="0" collapsed="false">
      <c r="A133" s="4" t="s">
        <v>19</v>
      </c>
      <c r="B133" s="4" t="s">
        <v>474</v>
      </c>
      <c r="C133" s="4" t="s">
        <v>475</v>
      </c>
      <c r="D133" s="4" t="s">
        <v>476</v>
      </c>
      <c r="E133" s="5" t="n">
        <f aca="false">DATEVALUE(LEFT(D133,10))</f>
        <v>45728</v>
      </c>
      <c r="F133" s="4" t="s">
        <v>23</v>
      </c>
      <c r="G133" s="4" t="s">
        <v>23</v>
      </c>
      <c r="H133" s="6" t="s">
        <v>24</v>
      </c>
      <c r="I133" s="4" t="s">
        <v>25</v>
      </c>
      <c r="J133" s="4" t="s">
        <v>26</v>
      </c>
      <c r="K133" s="7" t="n">
        <v>45814</v>
      </c>
      <c r="L133" s="7" t="n">
        <v>46179</v>
      </c>
      <c r="M133" s="8" t="n">
        <f aca="false">DATEDIF(K133,L133,"m")</f>
        <v>12</v>
      </c>
      <c r="N133" s="8" t="n">
        <f aca="false">DATEDIF(E133,L133,"m")</f>
        <v>14</v>
      </c>
      <c r="O133" s="9" t="n">
        <v>1794.5</v>
      </c>
      <c r="P133" s="9" t="n">
        <f aca="false">O133/M133</f>
        <v>149.541666666667</v>
      </c>
      <c r="Q133" s="4" t="n">
        <v>1</v>
      </c>
      <c r="R133" s="10" t="n">
        <f aca="false">IF(N133&lt;=12,N133*P133,O133)</f>
        <v>1794.5</v>
      </c>
      <c r="S133" s="4" t="s">
        <v>27</v>
      </c>
    </row>
    <row r="134" customFormat="false" ht="15" hidden="false" customHeight="false" outlineLevel="0" collapsed="false">
      <c r="A134" s="4" t="s">
        <v>28</v>
      </c>
      <c r="B134" s="4" t="s">
        <v>477</v>
      </c>
      <c r="C134" s="4" t="s">
        <v>478</v>
      </c>
      <c r="D134" s="11" t="s">
        <v>479</v>
      </c>
      <c r="E134" s="5" t="n">
        <f aca="false">DATEVALUE(LEFT(D134,10))</f>
        <v>44855</v>
      </c>
      <c r="F134" s="4" t="s">
        <v>480</v>
      </c>
      <c r="G134" s="15" t="s">
        <v>481</v>
      </c>
      <c r="H134" s="4" t="s">
        <v>24</v>
      </c>
      <c r="I134" s="4" t="s">
        <v>25</v>
      </c>
      <c r="J134" s="4" t="s">
        <v>26</v>
      </c>
      <c r="K134" s="7" t="n">
        <v>45777</v>
      </c>
      <c r="L134" s="7" t="n">
        <v>46142</v>
      </c>
      <c r="M134" s="8" t="n">
        <f aca="false">DATEDIF(K134,L134,"m")</f>
        <v>12</v>
      </c>
      <c r="N134" s="8" t="n">
        <f aca="false">DATEDIF(E134,L134,"m")</f>
        <v>42</v>
      </c>
      <c r="O134" s="12" t="n">
        <v>1663</v>
      </c>
      <c r="P134" s="12" t="n">
        <f aca="false">O134/12</f>
        <v>138.583333333333</v>
      </c>
      <c r="Q134" s="4" t="n">
        <v>1</v>
      </c>
      <c r="R134" s="10" t="n">
        <f aca="false">IF(N134&lt;=12,N134*P134,O134)</f>
        <v>1663</v>
      </c>
      <c r="S134" s="4" t="s">
        <v>27</v>
      </c>
    </row>
    <row r="135" customFormat="false" ht="15" hidden="false" customHeight="false" outlineLevel="0" collapsed="false">
      <c r="A135" s="4" t="s">
        <v>28</v>
      </c>
      <c r="B135" s="4" t="s">
        <v>482</v>
      </c>
      <c r="C135" s="4" t="s">
        <v>483</v>
      </c>
      <c r="D135" s="11" t="s">
        <v>484</v>
      </c>
      <c r="E135" s="5" t="n">
        <f aca="false">DATEVALUE(LEFT(D135,10))</f>
        <v>44974</v>
      </c>
      <c r="F135" s="4" t="s">
        <v>186</v>
      </c>
      <c r="G135" s="15" t="s">
        <v>209</v>
      </c>
      <c r="H135" s="4" t="s">
        <v>24</v>
      </c>
      <c r="I135" s="4" t="s">
        <v>25</v>
      </c>
      <c r="J135" s="4" t="s">
        <v>26</v>
      </c>
      <c r="K135" s="7" t="n">
        <v>45777</v>
      </c>
      <c r="L135" s="7" t="n">
        <v>46142</v>
      </c>
      <c r="M135" s="8" t="n">
        <f aca="false">DATEDIF(K135,L135,"m")</f>
        <v>12</v>
      </c>
      <c r="N135" s="8" t="n">
        <f aca="false">DATEDIF(E135,L135,"m")</f>
        <v>38</v>
      </c>
      <c r="O135" s="12" t="n">
        <v>1663</v>
      </c>
      <c r="P135" s="12" t="n">
        <f aca="false">O135/12</f>
        <v>138.583333333333</v>
      </c>
      <c r="Q135" s="4" t="n">
        <v>1</v>
      </c>
      <c r="R135" s="10" t="n">
        <f aca="false">IF(N135&lt;=12,N135*P135,O135)</f>
        <v>1663</v>
      </c>
      <c r="S135" s="4" t="s">
        <v>27</v>
      </c>
    </row>
    <row r="136" customFormat="false" ht="15" hidden="false" customHeight="false" outlineLevel="0" collapsed="false">
      <c r="A136" s="4" t="s">
        <v>28</v>
      </c>
      <c r="B136" s="4" t="s">
        <v>485</v>
      </c>
      <c r="C136" s="4" t="s">
        <v>486</v>
      </c>
      <c r="D136" s="11" t="s">
        <v>487</v>
      </c>
      <c r="E136" s="5" t="n">
        <f aca="false">DATEVALUE(LEFT(D136,10))</f>
        <v>45632</v>
      </c>
      <c r="F136" s="4" t="s">
        <v>488</v>
      </c>
      <c r="G136" s="4" t="s">
        <v>489</v>
      </c>
      <c r="H136" s="4" t="s">
        <v>24</v>
      </c>
      <c r="I136" s="4" t="s">
        <v>25</v>
      </c>
      <c r="J136" s="4" t="s">
        <v>26</v>
      </c>
      <c r="K136" s="7" t="n">
        <v>45777</v>
      </c>
      <c r="L136" s="7" t="n">
        <v>46142</v>
      </c>
      <c r="M136" s="8" t="n">
        <f aca="false">DATEDIF(K136,L136,"m")</f>
        <v>12</v>
      </c>
      <c r="N136" s="8" t="n">
        <f aca="false">DATEDIF(E136,L136,"m")</f>
        <v>16</v>
      </c>
      <c r="O136" s="12" t="n">
        <v>1663</v>
      </c>
      <c r="P136" s="12" t="n">
        <f aca="false">O136/12</f>
        <v>138.583333333333</v>
      </c>
      <c r="Q136" s="4" t="n">
        <v>1</v>
      </c>
      <c r="R136" s="10" t="n">
        <f aca="false">IF(N136&lt;=12,N136*P136,O136)</f>
        <v>1663</v>
      </c>
      <c r="S136" s="4" t="s">
        <v>27</v>
      </c>
    </row>
    <row r="137" customFormat="false" ht="15" hidden="false" customHeight="false" outlineLevel="0" collapsed="false">
      <c r="A137" s="4" t="s">
        <v>28</v>
      </c>
      <c r="B137" s="4" t="s">
        <v>490</v>
      </c>
      <c r="C137" s="4" t="s">
        <v>491</v>
      </c>
      <c r="D137" s="11" t="s">
        <v>492</v>
      </c>
      <c r="E137" s="5" t="n">
        <f aca="false">DATEVALUE(LEFT(D137,10))</f>
        <v>45792</v>
      </c>
      <c r="F137" s="4" t="s">
        <v>108</v>
      </c>
      <c r="G137" s="15" t="s">
        <v>109</v>
      </c>
      <c r="H137" s="4" t="s">
        <v>24</v>
      </c>
      <c r="I137" s="4" t="s">
        <v>37</v>
      </c>
      <c r="J137" s="4" t="s">
        <v>38</v>
      </c>
      <c r="K137" s="7" t="n">
        <v>45944</v>
      </c>
      <c r="L137" s="7" t="n">
        <v>46309</v>
      </c>
      <c r="M137" s="8" t="n">
        <f aca="false">DATEDIF(K137,L137,"m")</f>
        <v>12</v>
      </c>
      <c r="N137" s="8" t="n">
        <f aca="false">DATEDIF(E137,L137,"m")</f>
        <v>16</v>
      </c>
      <c r="O137" s="12" t="n">
        <v>298.8</v>
      </c>
      <c r="P137" s="9" t="n">
        <f aca="false">O137/M137</f>
        <v>24.9</v>
      </c>
      <c r="Q137" s="4" t="n">
        <v>1</v>
      </c>
      <c r="R137" s="10" t="n">
        <f aca="false">IF(N137&lt;=12,N137*P137,O137)</f>
        <v>298.8</v>
      </c>
      <c r="S137" s="4" t="s">
        <v>27</v>
      </c>
    </row>
    <row r="138" customFormat="false" ht="15" hidden="false" customHeight="false" outlineLevel="0" collapsed="false">
      <c r="A138" s="4" t="s">
        <v>28</v>
      </c>
      <c r="B138" s="4" t="s">
        <v>493</v>
      </c>
      <c r="C138" s="4" t="s">
        <v>494</v>
      </c>
      <c r="D138" s="11" t="s">
        <v>495</v>
      </c>
      <c r="E138" s="5" t="n">
        <f aca="false">DATEVALUE(LEFT(D138,10))</f>
        <v>45386</v>
      </c>
      <c r="F138" s="4" t="s">
        <v>108</v>
      </c>
      <c r="G138" s="15" t="s">
        <v>109</v>
      </c>
      <c r="H138" s="4" t="s">
        <v>24</v>
      </c>
      <c r="I138" s="4" t="s">
        <v>37</v>
      </c>
      <c r="J138" s="4" t="s">
        <v>38</v>
      </c>
      <c r="K138" s="7" t="n">
        <v>45944</v>
      </c>
      <c r="L138" s="7" t="n">
        <v>46309</v>
      </c>
      <c r="M138" s="8" t="n">
        <f aca="false">DATEDIF(K138,L138,"m")</f>
        <v>12</v>
      </c>
      <c r="N138" s="8" t="n">
        <f aca="false">DATEDIF(E138,L138,"m")</f>
        <v>30</v>
      </c>
      <c r="O138" s="12" t="n">
        <v>298.8</v>
      </c>
      <c r="P138" s="9" t="n">
        <f aca="false">O138/M138</f>
        <v>24.9</v>
      </c>
      <c r="Q138" s="4" t="n">
        <v>1</v>
      </c>
      <c r="R138" s="10" t="n">
        <f aca="false">IF(N138&lt;=12,N138*P138,O138)</f>
        <v>298.8</v>
      </c>
      <c r="S138" s="4" t="s">
        <v>27</v>
      </c>
    </row>
    <row r="139" customFormat="false" ht="15" hidden="false" customHeight="false" outlineLevel="0" collapsed="false">
      <c r="A139" s="4" t="s">
        <v>28</v>
      </c>
      <c r="B139" s="4" t="s">
        <v>496</v>
      </c>
      <c r="C139" s="4" t="s">
        <v>497</v>
      </c>
      <c r="D139" s="11" t="s">
        <v>498</v>
      </c>
      <c r="E139" s="5" t="n">
        <f aca="false">DATEVALUE(LEFT(D139,10))</f>
        <v>45628</v>
      </c>
      <c r="F139" s="4" t="s">
        <v>42</v>
      </c>
      <c r="G139" s="15" t="s">
        <v>177</v>
      </c>
      <c r="H139" s="4" t="s">
        <v>24</v>
      </c>
      <c r="I139" s="4" t="s">
        <v>37</v>
      </c>
      <c r="J139" s="4" t="s">
        <v>38</v>
      </c>
      <c r="K139" s="7" t="n">
        <v>45944</v>
      </c>
      <c r="L139" s="7" t="n">
        <v>46309</v>
      </c>
      <c r="M139" s="8" t="n">
        <f aca="false">DATEDIF(K139,L139,"m")</f>
        <v>12</v>
      </c>
      <c r="N139" s="8" t="n">
        <f aca="false">DATEDIF(E139,L139,"m")</f>
        <v>22</v>
      </c>
      <c r="O139" s="12" t="n">
        <v>298.8</v>
      </c>
      <c r="P139" s="9" t="n">
        <f aca="false">O139/M139</f>
        <v>24.9</v>
      </c>
      <c r="Q139" s="4" t="n">
        <v>1</v>
      </c>
      <c r="R139" s="10" t="n">
        <f aca="false">IF(N139&lt;=12,N139*P139,O139)</f>
        <v>298.8</v>
      </c>
      <c r="S139" s="4" t="s">
        <v>27</v>
      </c>
    </row>
    <row r="140" customFormat="false" ht="15" hidden="false" customHeight="false" outlineLevel="0" collapsed="false">
      <c r="A140" s="4" t="s">
        <v>19</v>
      </c>
      <c r="B140" s="4" t="s">
        <v>499</v>
      </c>
      <c r="C140" s="4" t="s">
        <v>500</v>
      </c>
      <c r="D140" s="4" t="s">
        <v>501</v>
      </c>
      <c r="E140" s="5" t="n">
        <f aca="false">DATEVALUE(LEFT(D140,10))</f>
        <v>45754</v>
      </c>
      <c r="F140" s="4" t="s">
        <v>23</v>
      </c>
      <c r="G140" s="4" t="s">
        <v>23</v>
      </c>
      <c r="H140" s="6" t="s">
        <v>24</v>
      </c>
      <c r="I140" s="4" t="s">
        <v>37</v>
      </c>
      <c r="J140" s="4" t="s">
        <v>26</v>
      </c>
      <c r="K140" s="7" t="n">
        <v>45663</v>
      </c>
      <c r="L140" s="7" t="n">
        <v>46028</v>
      </c>
      <c r="M140" s="8" t="n">
        <f aca="false">DATEDIF(K140,L140,"m")</f>
        <v>12</v>
      </c>
      <c r="N140" s="8" t="n">
        <f aca="false">DATEDIF(E140,L140,"m")</f>
        <v>8</v>
      </c>
      <c r="O140" s="12" t="n">
        <v>354.6</v>
      </c>
      <c r="P140" s="9" t="n">
        <f aca="false">O140/M140</f>
        <v>29.55</v>
      </c>
      <c r="Q140" s="4" t="n">
        <v>1</v>
      </c>
      <c r="R140" s="10" t="n">
        <f aca="false">IF(N140&lt;=12,N140*P140,O140)</f>
        <v>236.4</v>
      </c>
      <c r="S140" s="4" t="s">
        <v>27</v>
      </c>
    </row>
    <row r="141" customFormat="false" ht="15" hidden="false" customHeight="false" outlineLevel="0" collapsed="false">
      <c r="A141" s="4" t="s">
        <v>28</v>
      </c>
      <c r="B141" s="4" t="s">
        <v>502</v>
      </c>
      <c r="C141" s="4" t="s">
        <v>503</v>
      </c>
      <c r="D141" s="11" t="s">
        <v>504</v>
      </c>
      <c r="E141" s="5" t="n">
        <f aca="false">DATEVALUE(LEFT(D141,10))</f>
        <v>44855</v>
      </c>
      <c r="F141" s="4" t="s">
        <v>52</v>
      </c>
      <c r="G141" s="15" t="s">
        <v>272</v>
      </c>
      <c r="H141" s="4" t="s">
        <v>24</v>
      </c>
      <c r="I141" s="4" t="s">
        <v>37</v>
      </c>
      <c r="J141" s="4" t="s">
        <v>38</v>
      </c>
      <c r="K141" s="7" t="n">
        <v>45944</v>
      </c>
      <c r="L141" s="7" t="n">
        <v>46309</v>
      </c>
      <c r="M141" s="8" t="n">
        <f aca="false">DATEDIF(K141,L141,"m")</f>
        <v>12</v>
      </c>
      <c r="N141" s="8" t="n">
        <f aca="false">DATEDIF(E141,L141,"m")</f>
        <v>47</v>
      </c>
      <c r="O141" s="12" t="n">
        <v>298.8</v>
      </c>
      <c r="P141" s="9" t="n">
        <f aca="false">O141/M141</f>
        <v>24.9</v>
      </c>
      <c r="Q141" s="4" t="n">
        <v>1</v>
      </c>
      <c r="R141" s="10" t="n">
        <f aca="false">IF(N141&lt;=12,N141*P141,O141)</f>
        <v>298.8</v>
      </c>
      <c r="S141" s="4" t="s">
        <v>27</v>
      </c>
    </row>
    <row r="142" customFormat="false" ht="15" hidden="false" customHeight="false" outlineLevel="0" collapsed="false">
      <c r="A142" s="4" t="s">
        <v>28</v>
      </c>
      <c r="B142" s="4" t="s">
        <v>505</v>
      </c>
      <c r="C142" s="4" t="s">
        <v>506</v>
      </c>
      <c r="D142" s="11" t="s">
        <v>507</v>
      </c>
      <c r="E142" s="5" t="n">
        <f aca="false">DATEVALUE(LEFT(D142,10))</f>
        <v>45454</v>
      </c>
      <c r="F142" s="4" t="s">
        <v>186</v>
      </c>
      <c r="G142" s="15" t="s">
        <v>187</v>
      </c>
      <c r="H142" s="4" t="s">
        <v>24</v>
      </c>
      <c r="I142" s="4" t="s">
        <v>80</v>
      </c>
      <c r="J142" s="4" t="s">
        <v>38</v>
      </c>
      <c r="K142" s="7" t="n">
        <v>45997</v>
      </c>
      <c r="L142" s="7" t="n">
        <v>46362</v>
      </c>
      <c r="M142" s="8" t="n">
        <f aca="false">DATEDIF(K142,L142,"m")</f>
        <v>12</v>
      </c>
      <c r="N142" s="8" t="n">
        <f aca="false">DATEDIF(E142,L142,"m")</f>
        <v>29</v>
      </c>
      <c r="O142" s="16" t="n">
        <v>542.8</v>
      </c>
      <c r="P142" s="12" t="n">
        <f aca="false">O142/12</f>
        <v>45.2333333333333</v>
      </c>
      <c r="Q142" s="4" t="n">
        <v>1</v>
      </c>
      <c r="R142" s="10" t="n">
        <f aca="false">IF(N142&lt;=12,N142*P142,O142)</f>
        <v>542.8</v>
      </c>
      <c r="S142" s="4" t="s">
        <v>27</v>
      </c>
    </row>
    <row r="143" customFormat="false" ht="15" hidden="false" customHeight="false" outlineLevel="0" collapsed="false">
      <c r="A143" s="4" t="s">
        <v>28</v>
      </c>
      <c r="B143" s="4" t="s">
        <v>508</v>
      </c>
      <c r="C143" s="4" t="s">
        <v>509</v>
      </c>
      <c r="D143" s="11" t="s">
        <v>510</v>
      </c>
      <c r="E143" s="5" t="n">
        <f aca="false">DATEVALUE(LEFT(D143,10))</f>
        <v>45201</v>
      </c>
      <c r="F143" s="4" t="s">
        <v>108</v>
      </c>
      <c r="G143" s="15" t="s">
        <v>109</v>
      </c>
      <c r="H143" s="4" t="s">
        <v>24</v>
      </c>
      <c r="I143" s="4" t="s">
        <v>37</v>
      </c>
      <c r="J143" s="4" t="s">
        <v>38</v>
      </c>
      <c r="K143" s="7" t="n">
        <v>45944</v>
      </c>
      <c r="L143" s="7" t="n">
        <v>46309</v>
      </c>
      <c r="M143" s="8" t="n">
        <f aca="false">DATEDIF(K143,L143,"m")</f>
        <v>12</v>
      </c>
      <c r="N143" s="8" t="n">
        <f aca="false">DATEDIF(E143,L143,"m")</f>
        <v>36</v>
      </c>
      <c r="O143" s="12" t="n">
        <v>298.8</v>
      </c>
      <c r="P143" s="9" t="n">
        <f aca="false">O143/M143</f>
        <v>24.9</v>
      </c>
      <c r="Q143" s="4" t="n">
        <v>1</v>
      </c>
      <c r="R143" s="10" t="n">
        <f aca="false">IF(N143&lt;=12,N143*P143,O143)</f>
        <v>298.8</v>
      </c>
      <c r="S143" s="4" t="s">
        <v>27</v>
      </c>
    </row>
    <row r="144" customFormat="false" ht="15" hidden="false" customHeight="false" outlineLevel="0" collapsed="false">
      <c r="A144" s="4" t="s">
        <v>28</v>
      </c>
      <c r="B144" s="4" t="s">
        <v>511</v>
      </c>
      <c r="C144" s="4" t="s">
        <v>512</v>
      </c>
      <c r="D144" s="11" t="s">
        <v>513</v>
      </c>
      <c r="E144" s="5" t="n">
        <f aca="false">DATEVALUE(LEFT(D144,10))</f>
        <v>45712</v>
      </c>
      <c r="F144" s="4" t="s">
        <v>312</v>
      </c>
      <c r="G144" s="15" t="s">
        <v>514</v>
      </c>
      <c r="H144" s="4" t="s">
        <v>24</v>
      </c>
      <c r="I144" s="4" t="s">
        <v>37</v>
      </c>
      <c r="J144" s="4" t="s">
        <v>38</v>
      </c>
      <c r="K144" s="7" t="n">
        <v>45944</v>
      </c>
      <c r="L144" s="7" t="n">
        <v>46309</v>
      </c>
      <c r="M144" s="8" t="n">
        <f aca="false">DATEDIF(K144,L144,"m")</f>
        <v>12</v>
      </c>
      <c r="N144" s="8" t="n">
        <f aca="false">DATEDIF(E144,L144,"m")</f>
        <v>19</v>
      </c>
      <c r="O144" s="12" t="n">
        <v>298.8</v>
      </c>
      <c r="P144" s="9" t="n">
        <f aca="false">O144/M144</f>
        <v>24.9</v>
      </c>
      <c r="Q144" s="4" t="n">
        <v>1</v>
      </c>
      <c r="R144" s="10" t="n">
        <f aca="false">IF(N144&lt;=12,N144*P144,O144)</f>
        <v>298.8</v>
      </c>
      <c r="S144" s="4" t="s">
        <v>27</v>
      </c>
    </row>
    <row r="145" customFormat="false" ht="15" hidden="false" customHeight="false" outlineLevel="0" collapsed="false">
      <c r="A145" s="4" t="s">
        <v>98</v>
      </c>
      <c r="B145" s="4" t="s">
        <v>515</v>
      </c>
      <c r="C145" s="4" t="s">
        <v>516</v>
      </c>
      <c r="D145" s="4" t="s">
        <v>517</v>
      </c>
      <c r="E145" s="5" t="n">
        <f aca="false">DATEVALUE(LEFT(D145,10))</f>
        <v>44855</v>
      </c>
      <c r="F145" s="4" t="s">
        <v>259</v>
      </c>
      <c r="G145" s="15" t="s">
        <v>518</v>
      </c>
      <c r="H145" s="4" t="s">
        <v>104</v>
      </c>
      <c r="I145" s="4" t="s">
        <v>25</v>
      </c>
      <c r="J145" s="4" t="s">
        <v>38</v>
      </c>
      <c r="K145" s="7" t="n">
        <v>45839</v>
      </c>
      <c r="L145" s="7" t="n">
        <v>46204</v>
      </c>
      <c r="M145" s="8" t="n">
        <f aca="false">DATEDIF(K145,L145,"m")</f>
        <v>12</v>
      </c>
      <c r="N145" s="8" t="n">
        <f aca="false">DATEDIF(E145,L145,"m")</f>
        <v>44</v>
      </c>
      <c r="O145" s="9" t="n">
        <v>1498.8</v>
      </c>
      <c r="P145" s="12" t="n">
        <f aca="false">O145/12</f>
        <v>124.9</v>
      </c>
      <c r="Q145" s="4" t="n">
        <v>1</v>
      </c>
      <c r="R145" s="10" t="n">
        <f aca="false">IF(N145&lt;=12,N145*P145,O145)</f>
        <v>1498.8</v>
      </c>
      <c r="S145" s="4" t="s">
        <v>27</v>
      </c>
    </row>
    <row r="146" customFormat="false" ht="15" hidden="false" customHeight="false" outlineLevel="0" collapsed="false">
      <c r="A146" s="4" t="s">
        <v>28</v>
      </c>
      <c r="B146" s="4" t="s">
        <v>519</v>
      </c>
      <c r="C146" s="4" t="s">
        <v>520</v>
      </c>
      <c r="D146" s="11" t="s">
        <v>521</v>
      </c>
      <c r="E146" s="5" t="n">
        <f aca="false">DATEVALUE(LEFT(D146,10))</f>
        <v>44970</v>
      </c>
      <c r="F146" s="4" t="s">
        <v>91</v>
      </c>
      <c r="G146" s="15" t="s">
        <v>92</v>
      </c>
      <c r="H146" s="4" t="s">
        <v>24</v>
      </c>
      <c r="I146" s="4" t="s">
        <v>37</v>
      </c>
      <c r="J146" s="4" t="s">
        <v>38</v>
      </c>
      <c r="K146" s="7" t="n">
        <v>45944</v>
      </c>
      <c r="L146" s="7" t="n">
        <v>46309</v>
      </c>
      <c r="M146" s="8" t="n">
        <f aca="false">DATEDIF(K146,L146,"m")</f>
        <v>12</v>
      </c>
      <c r="N146" s="8" t="n">
        <f aca="false">DATEDIF(E146,L146,"m")</f>
        <v>44</v>
      </c>
      <c r="O146" s="12" t="n">
        <v>298.8</v>
      </c>
      <c r="P146" s="9" t="n">
        <f aca="false">O146/M146</f>
        <v>24.9</v>
      </c>
      <c r="Q146" s="4" t="n">
        <v>1</v>
      </c>
      <c r="R146" s="10" t="n">
        <f aca="false">IF(N146&lt;=12,N146*P146,O146)</f>
        <v>298.8</v>
      </c>
      <c r="S146" s="4" t="s">
        <v>27</v>
      </c>
    </row>
    <row r="147" customFormat="false" ht="15" hidden="false" customHeight="false" outlineLevel="0" collapsed="false">
      <c r="A147" s="4" t="s">
        <v>28</v>
      </c>
      <c r="B147" s="4" t="s">
        <v>522</v>
      </c>
      <c r="C147" s="4" t="s">
        <v>523</v>
      </c>
      <c r="D147" s="11" t="s">
        <v>524</v>
      </c>
      <c r="E147" s="5" t="n">
        <f aca="false">DATEVALUE(LEFT(D147,10))</f>
        <v>45174</v>
      </c>
      <c r="F147" s="4" t="s">
        <v>42</v>
      </c>
      <c r="G147" s="15" t="s">
        <v>238</v>
      </c>
      <c r="H147" s="4" t="s">
        <v>24</v>
      </c>
      <c r="I147" s="4" t="s">
        <v>37</v>
      </c>
      <c r="J147" s="4" t="s">
        <v>38</v>
      </c>
      <c r="K147" s="7" t="n">
        <v>45944</v>
      </c>
      <c r="L147" s="7" t="n">
        <v>46309</v>
      </c>
      <c r="M147" s="8" t="n">
        <f aca="false">DATEDIF(K147,L147,"m")</f>
        <v>12</v>
      </c>
      <c r="N147" s="8" t="n">
        <f aca="false">DATEDIF(E147,L147,"m")</f>
        <v>37</v>
      </c>
      <c r="O147" s="12" t="n">
        <v>298.8</v>
      </c>
      <c r="P147" s="9" t="n">
        <f aca="false">O147/M147</f>
        <v>24.9</v>
      </c>
      <c r="Q147" s="4" t="n">
        <v>1</v>
      </c>
      <c r="R147" s="10" t="n">
        <f aca="false">IF(N147&lt;=12,N147*P147,O147)</f>
        <v>298.8</v>
      </c>
      <c r="S147" s="4" t="s">
        <v>27</v>
      </c>
    </row>
    <row r="148" customFormat="false" ht="15" hidden="false" customHeight="false" outlineLevel="0" collapsed="false">
      <c r="A148" s="4" t="s">
        <v>28</v>
      </c>
      <c r="B148" s="4" t="s">
        <v>264</v>
      </c>
      <c r="C148" s="4" t="s">
        <v>525</v>
      </c>
      <c r="D148" s="11" t="s">
        <v>526</v>
      </c>
      <c r="E148" s="5" t="n">
        <f aca="false">DATEVALUE(LEFT(D148,10))</f>
        <v>44855</v>
      </c>
      <c r="F148" s="4" t="s">
        <v>264</v>
      </c>
      <c r="G148" s="15" t="s">
        <v>265</v>
      </c>
      <c r="H148" s="4" t="s">
        <v>24</v>
      </c>
      <c r="I148" s="4" t="s">
        <v>25</v>
      </c>
      <c r="J148" s="4" t="s">
        <v>26</v>
      </c>
      <c r="K148" s="7" t="n">
        <v>45777</v>
      </c>
      <c r="L148" s="7" t="n">
        <v>46142</v>
      </c>
      <c r="M148" s="8" t="n">
        <f aca="false">DATEDIF(K148,L148,"m")</f>
        <v>12</v>
      </c>
      <c r="N148" s="8" t="n">
        <f aca="false">DATEDIF(E148,L148,"m")</f>
        <v>42</v>
      </c>
      <c r="O148" s="12" t="n">
        <v>1663</v>
      </c>
      <c r="P148" s="12" t="n">
        <f aca="false">O148/12</f>
        <v>138.583333333333</v>
      </c>
      <c r="Q148" s="4" t="n">
        <v>1</v>
      </c>
      <c r="R148" s="10" t="n">
        <f aca="false">IF(N148&lt;=12,N148*P148,O148)</f>
        <v>1663</v>
      </c>
      <c r="S148" s="4" t="s">
        <v>27</v>
      </c>
    </row>
    <row r="149" customFormat="false" ht="15" hidden="false" customHeight="false" outlineLevel="0" collapsed="false">
      <c r="A149" s="4" t="s">
        <v>28</v>
      </c>
      <c r="B149" s="4" t="s">
        <v>527</v>
      </c>
      <c r="C149" s="4" t="s">
        <v>528</v>
      </c>
      <c r="D149" s="11" t="s">
        <v>529</v>
      </c>
      <c r="E149" s="5" t="n">
        <f aca="false">DATEVALUE(LEFT(D149,10))</f>
        <v>44855</v>
      </c>
      <c r="F149" s="4" t="s">
        <v>42</v>
      </c>
      <c r="G149" s="15" t="s">
        <v>57</v>
      </c>
      <c r="H149" s="4" t="s">
        <v>24</v>
      </c>
      <c r="I149" s="4" t="s">
        <v>25</v>
      </c>
      <c r="J149" s="4" t="s">
        <v>26</v>
      </c>
      <c r="K149" s="7" t="n">
        <v>45778</v>
      </c>
      <c r="L149" s="7" t="n">
        <v>46143</v>
      </c>
      <c r="M149" s="8" t="n">
        <f aca="false">DATEDIF(K149,L149,"m")</f>
        <v>12</v>
      </c>
      <c r="N149" s="8" t="n">
        <f aca="false">DATEDIF(E149,L149,"m")</f>
        <v>42</v>
      </c>
      <c r="O149" s="12" t="n">
        <v>1663</v>
      </c>
      <c r="P149" s="12" t="n">
        <f aca="false">O149/12</f>
        <v>138.583333333333</v>
      </c>
      <c r="Q149" s="4" t="n">
        <v>1</v>
      </c>
      <c r="R149" s="10" t="n">
        <f aca="false">IF(N149&lt;=12,N149*P149,O149)</f>
        <v>1663</v>
      </c>
      <c r="S149" s="4" t="s">
        <v>27</v>
      </c>
    </row>
    <row r="150" customFormat="false" ht="15" hidden="false" customHeight="false" outlineLevel="0" collapsed="false">
      <c r="A150" s="4" t="s">
        <v>28</v>
      </c>
      <c r="B150" s="4" t="s">
        <v>294</v>
      </c>
      <c r="C150" s="4" t="s">
        <v>530</v>
      </c>
      <c r="D150" s="11" t="s">
        <v>531</v>
      </c>
      <c r="E150" s="5" t="n">
        <f aca="false">DATEVALUE(LEFT(D150,10))</f>
        <v>45518</v>
      </c>
      <c r="F150" s="4" t="s">
        <v>294</v>
      </c>
      <c r="G150" s="15" t="s">
        <v>69</v>
      </c>
      <c r="H150" s="4" t="s">
        <v>24</v>
      </c>
      <c r="I150" s="4" t="s">
        <v>37</v>
      </c>
      <c r="J150" s="4" t="s">
        <v>38</v>
      </c>
      <c r="K150" s="7" t="n">
        <v>45944</v>
      </c>
      <c r="L150" s="7" t="n">
        <v>46309</v>
      </c>
      <c r="M150" s="8" t="n">
        <f aca="false">DATEDIF(K150,L150,"m")</f>
        <v>12</v>
      </c>
      <c r="N150" s="8" t="n">
        <f aca="false">DATEDIF(E150,L150,"m")</f>
        <v>26</v>
      </c>
      <c r="O150" s="12" t="n">
        <v>298.8</v>
      </c>
      <c r="P150" s="9" t="n">
        <f aca="false">O150/M150</f>
        <v>24.9</v>
      </c>
      <c r="Q150" s="4" t="n">
        <v>1</v>
      </c>
      <c r="R150" s="10" t="n">
        <f aca="false">IF(N150&lt;=12,N150*P150,O150)</f>
        <v>298.8</v>
      </c>
      <c r="S150" s="4" t="s">
        <v>27</v>
      </c>
    </row>
    <row r="151" customFormat="false" ht="15" hidden="false" customHeight="false" outlineLevel="0" collapsed="false">
      <c r="A151" s="4" t="s">
        <v>28</v>
      </c>
      <c r="B151" s="4" t="s">
        <v>294</v>
      </c>
      <c r="C151" s="4" t="s">
        <v>530</v>
      </c>
      <c r="D151" s="11" t="s">
        <v>531</v>
      </c>
      <c r="E151" s="5" t="n">
        <f aca="false">DATEVALUE(LEFT(D151,10))</f>
        <v>45518</v>
      </c>
      <c r="F151" s="4" t="s">
        <v>294</v>
      </c>
      <c r="G151" s="15" t="s">
        <v>69</v>
      </c>
      <c r="H151" s="4" t="s">
        <v>24</v>
      </c>
      <c r="I151" s="4" t="s">
        <v>80</v>
      </c>
      <c r="J151" s="4" t="s">
        <v>38</v>
      </c>
      <c r="K151" s="7" t="n">
        <v>45997</v>
      </c>
      <c r="L151" s="7" t="n">
        <v>46362</v>
      </c>
      <c r="M151" s="8" t="n">
        <f aca="false">DATEDIF(K151,L151,"m")</f>
        <v>12</v>
      </c>
      <c r="N151" s="8" t="n">
        <f aca="false">DATEDIF(E151,L151,"m")</f>
        <v>27</v>
      </c>
      <c r="O151" s="16" t="n">
        <v>542.8</v>
      </c>
      <c r="P151" s="12" t="n">
        <f aca="false">O151/12</f>
        <v>45.2333333333333</v>
      </c>
      <c r="Q151" s="4" t="n">
        <v>1</v>
      </c>
      <c r="R151" s="10" t="n">
        <f aca="false">IF(N151&lt;=12,N151*P151,O151)</f>
        <v>542.8</v>
      </c>
      <c r="S151" s="4" t="s">
        <v>27</v>
      </c>
    </row>
    <row r="152" customFormat="false" ht="15" hidden="false" customHeight="false" outlineLevel="0" collapsed="false">
      <c r="A152" s="4" t="s">
        <v>28</v>
      </c>
      <c r="B152" s="4" t="s">
        <v>532</v>
      </c>
      <c r="C152" s="4" t="s">
        <v>533</v>
      </c>
      <c r="D152" s="11" t="s">
        <v>534</v>
      </c>
      <c r="E152" s="5" t="n">
        <f aca="false">DATEVALUE(LEFT(D152,10))</f>
        <v>44855</v>
      </c>
      <c r="F152" s="4" t="s">
        <v>532</v>
      </c>
      <c r="G152" s="15" t="s">
        <v>265</v>
      </c>
      <c r="H152" s="4" t="s">
        <v>24</v>
      </c>
      <c r="I152" s="4" t="s">
        <v>25</v>
      </c>
      <c r="J152" s="4" t="s">
        <v>26</v>
      </c>
      <c r="K152" s="7" t="n">
        <v>45777</v>
      </c>
      <c r="L152" s="18" t="n">
        <v>46142</v>
      </c>
      <c r="M152" s="8" t="n">
        <f aca="false">DATEDIF(K152,L152,"m")</f>
        <v>12</v>
      </c>
      <c r="N152" s="8" t="n">
        <f aca="false">DATEDIF(E152,L152,"m")</f>
        <v>42</v>
      </c>
      <c r="O152" s="12" t="n">
        <v>1663</v>
      </c>
      <c r="P152" s="12" t="n">
        <f aca="false">O152/12</f>
        <v>138.583333333333</v>
      </c>
      <c r="Q152" s="4" t="n">
        <v>1</v>
      </c>
      <c r="R152" s="10" t="n">
        <f aca="false">IF(N152&lt;=12,N152*P152,O152)</f>
        <v>1663</v>
      </c>
      <c r="S152" s="4" t="s">
        <v>27</v>
      </c>
    </row>
    <row r="153" customFormat="false" ht="15" hidden="false" customHeight="false" outlineLevel="0" collapsed="false">
      <c r="A153" s="4" t="s">
        <v>146</v>
      </c>
      <c r="B153" s="4" t="s">
        <v>36</v>
      </c>
      <c r="C153" s="4" t="s">
        <v>535</v>
      </c>
      <c r="D153" s="4" t="s">
        <v>536</v>
      </c>
      <c r="E153" s="5" t="n">
        <f aca="false">DATEVALUE(LEFT(D153,10))</f>
        <v>45821</v>
      </c>
      <c r="F153" s="4" t="s">
        <v>149</v>
      </c>
      <c r="G153" s="4" t="s">
        <v>149</v>
      </c>
      <c r="H153" s="4" t="s">
        <v>24</v>
      </c>
      <c r="I153" s="4" t="s">
        <v>37</v>
      </c>
      <c r="J153" s="4" t="s">
        <v>38</v>
      </c>
      <c r="K153" s="7" t="n">
        <v>45814</v>
      </c>
      <c r="L153" s="7" t="n">
        <v>46179</v>
      </c>
      <c r="M153" s="8" t="n">
        <f aca="false">DATEDIF(K153,L153,"m")</f>
        <v>12</v>
      </c>
      <c r="N153" s="8" t="n">
        <f aca="false">DATEDIF(E153,L153,"m")</f>
        <v>11</v>
      </c>
      <c r="O153" s="9" t="n">
        <v>1498.8</v>
      </c>
      <c r="P153" s="9" t="n">
        <f aca="false">O153/M153</f>
        <v>124.9</v>
      </c>
      <c r="Q153" s="4" t="n">
        <v>1</v>
      </c>
      <c r="R153" s="10" t="n">
        <f aca="false">IF(N153&lt;=12,N153*P153,O153)</f>
        <v>1373.9</v>
      </c>
      <c r="S153" s="4" t="s">
        <v>27</v>
      </c>
    </row>
    <row r="154" customFormat="false" ht="15" hidden="false" customHeight="false" outlineLevel="0" collapsed="false">
      <c r="A154" s="4" t="s">
        <v>28</v>
      </c>
      <c r="B154" s="4" t="s">
        <v>537</v>
      </c>
      <c r="C154" s="4" t="s">
        <v>538</v>
      </c>
      <c r="D154" s="11" t="s">
        <v>539</v>
      </c>
      <c r="E154" s="5" t="n">
        <f aca="false">DATEVALUE(LEFT(D154,10))</f>
        <v>44855</v>
      </c>
      <c r="F154" s="4" t="s">
        <v>540</v>
      </c>
      <c r="G154" s="15" t="s">
        <v>541</v>
      </c>
      <c r="H154" s="4" t="s">
        <v>24</v>
      </c>
      <c r="I154" s="4" t="s">
        <v>25</v>
      </c>
      <c r="J154" s="4" t="s">
        <v>26</v>
      </c>
      <c r="K154" s="7" t="n">
        <v>45777</v>
      </c>
      <c r="L154" s="7" t="n">
        <v>46142</v>
      </c>
      <c r="M154" s="8" t="n">
        <f aca="false">DATEDIF(K154,L154,"m")</f>
        <v>12</v>
      </c>
      <c r="N154" s="8" t="n">
        <f aca="false">DATEDIF(E154,L154,"m")</f>
        <v>42</v>
      </c>
      <c r="O154" s="12" t="n">
        <v>1663</v>
      </c>
      <c r="P154" s="12" t="n">
        <f aca="false">O154/12</f>
        <v>138.583333333333</v>
      </c>
      <c r="Q154" s="4" t="n">
        <v>1</v>
      </c>
      <c r="R154" s="10" t="n">
        <f aca="false">IF(N154&lt;=12,N154*P154,O154)</f>
        <v>1663</v>
      </c>
      <c r="S154" s="4" t="s">
        <v>27</v>
      </c>
    </row>
    <row r="155" customFormat="false" ht="15" hidden="false" customHeight="false" outlineLevel="0" collapsed="false">
      <c r="A155" s="4" t="s">
        <v>28</v>
      </c>
      <c r="B155" s="4" t="s">
        <v>542</v>
      </c>
      <c r="C155" s="4" t="s">
        <v>543</v>
      </c>
      <c r="D155" s="11" t="s">
        <v>544</v>
      </c>
      <c r="E155" s="5" t="n">
        <f aca="false">DATEVALUE(LEFT(D155,10))</f>
        <v>44855</v>
      </c>
      <c r="F155" s="4" t="s">
        <v>36</v>
      </c>
      <c r="G155" s="15" t="s">
        <v>33</v>
      </c>
      <c r="H155" s="4" t="s">
        <v>24</v>
      </c>
      <c r="I155" s="4" t="s">
        <v>37</v>
      </c>
      <c r="J155" s="4" t="s">
        <v>38</v>
      </c>
      <c r="K155" s="7" t="n">
        <v>45944</v>
      </c>
      <c r="L155" s="7" t="n">
        <v>46309</v>
      </c>
      <c r="M155" s="8" t="n">
        <f aca="false">DATEDIF(K155,L155,"m")</f>
        <v>12</v>
      </c>
      <c r="N155" s="8" t="n">
        <f aca="false">DATEDIF(E155,L155,"m")</f>
        <v>47</v>
      </c>
      <c r="O155" s="12" t="n">
        <v>298.8</v>
      </c>
      <c r="P155" s="9" t="n">
        <f aca="false">O155/M155</f>
        <v>24.9</v>
      </c>
      <c r="Q155" s="4" t="n">
        <v>1</v>
      </c>
      <c r="R155" s="10" t="n">
        <f aca="false">IF(N155&lt;=12,N155*P155,O155)</f>
        <v>298.8</v>
      </c>
      <c r="S155" s="4" t="s">
        <v>27</v>
      </c>
    </row>
    <row r="156" customFormat="false" ht="15" hidden="false" customHeight="false" outlineLevel="0" collapsed="false">
      <c r="A156" s="4" t="s">
        <v>28</v>
      </c>
      <c r="B156" s="4" t="s">
        <v>545</v>
      </c>
      <c r="C156" s="4" t="s">
        <v>546</v>
      </c>
      <c r="D156" s="11" t="s">
        <v>547</v>
      </c>
      <c r="E156" s="5" t="n">
        <f aca="false">DATEVALUE(LEFT(D156,10))</f>
        <v>45079</v>
      </c>
      <c r="F156" s="4" t="s">
        <v>548</v>
      </c>
      <c r="G156" s="4" t="s">
        <v>549</v>
      </c>
      <c r="H156" s="4" t="s">
        <v>24</v>
      </c>
      <c r="I156" s="4" t="s">
        <v>37</v>
      </c>
      <c r="J156" s="4" t="s">
        <v>38</v>
      </c>
      <c r="K156" s="7" t="n">
        <v>45944</v>
      </c>
      <c r="L156" s="7" t="n">
        <v>46309</v>
      </c>
      <c r="M156" s="8" t="n">
        <f aca="false">DATEDIF(K156,L156,"m")</f>
        <v>12</v>
      </c>
      <c r="N156" s="8" t="n">
        <f aca="false">DATEDIF(E156,L156,"m")</f>
        <v>40</v>
      </c>
      <c r="O156" s="12" t="n">
        <v>298.8</v>
      </c>
      <c r="P156" s="9" t="n">
        <f aca="false">O156/M156</f>
        <v>24.9</v>
      </c>
      <c r="Q156" s="4" t="n">
        <v>1</v>
      </c>
      <c r="R156" s="10" t="n">
        <f aca="false">IF(N156&lt;=12,N156*P156,O156)</f>
        <v>298.8</v>
      </c>
      <c r="S156" s="4" t="s">
        <v>27</v>
      </c>
    </row>
    <row r="157" customFormat="false" ht="15" hidden="false" customHeight="false" outlineLevel="0" collapsed="false">
      <c r="A157" s="4" t="s">
        <v>28</v>
      </c>
      <c r="B157" s="4" t="s">
        <v>550</v>
      </c>
      <c r="C157" s="4" t="s">
        <v>551</v>
      </c>
      <c r="D157" s="11" t="s">
        <v>552</v>
      </c>
      <c r="E157" s="5" t="n">
        <f aca="false">DATEVALUE(LEFT(D157,10))</f>
        <v>45247</v>
      </c>
      <c r="F157" s="4" t="s">
        <v>350</v>
      </c>
      <c r="G157" s="15" t="s">
        <v>265</v>
      </c>
      <c r="H157" s="4" t="s">
        <v>24</v>
      </c>
      <c r="I157" s="4" t="s">
        <v>25</v>
      </c>
      <c r="J157" s="4" t="s">
        <v>26</v>
      </c>
      <c r="K157" s="7" t="n">
        <v>45777</v>
      </c>
      <c r="L157" s="7" t="n">
        <v>46142</v>
      </c>
      <c r="M157" s="8" t="n">
        <f aca="false">DATEDIF(K157,L157,"m")</f>
        <v>12</v>
      </c>
      <c r="N157" s="8" t="n">
        <f aca="false">DATEDIF(E157,L157,"m")</f>
        <v>29</v>
      </c>
      <c r="O157" s="12" t="n">
        <v>1663</v>
      </c>
      <c r="P157" s="12" t="n">
        <f aca="false">O157/12</f>
        <v>138.583333333333</v>
      </c>
      <c r="Q157" s="4" t="n">
        <v>1</v>
      </c>
      <c r="R157" s="10" t="n">
        <f aca="false">IF(N157&lt;=12,N157*P157,O157)</f>
        <v>1663</v>
      </c>
      <c r="S157" s="4" t="s">
        <v>27</v>
      </c>
    </row>
    <row r="158" customFormat="false" ht="15" hidden="false" customHeight="false" outlineLevel="0" collapsed="false">
      <c r="A158" s="4" t="s">
        <v>28</v>
      </c>
      <c r="B158" s="4" t="s">
        <v>553</v>
      </c>
      <c r="C158" s="4" t="s">
        <v>554</v>
      </c>
      <c r="D158" s="11" t="s">
        <v>555</v>
      </c>
      <c r="E158" s="5" t="n">
        <f aca="false">DATEVALUE(LEFT(D158,10))</f>
        <v>44855</v>
      </c>
      <c r="F158" s="4" t="s">
        <v>186</v>
      </c>
      <c r="G158" s="15" t="s">
        <v>187</v>
      </c>
      <c r="H158" s="4" t="s">
        <v>24</v>
      </c>
      <c r="I158" s="4" t="s">
        <v>25</v>
      </c>
      <c r="J158" s="4" t="s">
        <v>26</v>
      </c>
      <c r="K158" s="7" t="n">
        <v>45777</v>
      </c>
      <c r="L158" s="7" t="n">
        <v>46142</v>
      </c>
      <c r="M158" s="8" t="n">
        <f aca="false">DATEDIF(K158,L158,"m")</f>
        <v>12</v>
      </c>
      <c r="N158" s="8" t="n">
        <f aca="false">DATEDIF(E158,L158,"m")</f>
        <v>42</v>
      </c>
      <c r="O158" s="12" t="n">
        <v>1663</v>
      </c>
      <c r="P158" s="12" t="n">
        <f aca="false">O158/12</f>
        <v>138.583333333333</v>
      </c>
      <c r="Q158" s="4" t="n">
        <v>1</v>
      </c>
      <c r="R158" s="10" t="n">
        <f aca="false">IF(N158&lt;=12,N158*P158,O158)</f>
        <v>1663</v>
      </c>
      <c r="S158" s="4" t="s">
        <v>27</v>
      </c>
    </row>
    <row r="159" customFormat="false" ht="15" hidden="false" customHeight="false" outlineLevel="0" collapsed="false">
      <c r="A159" s="4" t="s">
        <v>28</v>
      </c>
      <c r="B159" s="4" t="s">
        <v>556</v>
      </c>
      <c r="C159" s="4" t="s">
        <v>557</v>
      </c>
      <c r="D159" s="4" t="s">
        <v>558</v>
      </c>
      <c r="E159" s="5" t="n">
        <f aca="false">DATEVALUE(LEFT(D159,10))</f>
        <v>45601</v>
      </c>
      <c r="F159" s="4" t="s">
        <v>181</v>
      </c>
      <c r="G159" s="15" t="s">
        <v>559</v>
      </c>
      <c r="H159" s="4" t="s">
        <v>24</v>
      </c>
      <c r="I159" s="4" t="s">
        <v>25</v>
      </c>
      <c r="J159" s="4" t="s">
        <v>26</v>
      </c>
      <c r="K159" s="7" t="n">
        <v>45777</v>
      </c>
      <c r="L159" s="7" t="n">
        <v>46142</v>
      </c>
      <c r="M159" s="8" t="n">
        <f aca="false">DATEDIF(K159,L159,"m")</f>
        <v>12</v>
      </c>
      <c r="N159" s="8" t="n">
        <f aca="false">DATEDIF(E159,L159,"m")</f>
        <v>17</v>
      </c>
      <c r="O159" s="9" t="n">
        <v>1498</v>
      </c>
      <c r="P159" s="12" t="n">
        <f aca="false">O159/12</f>
        <v>124.833333333333</v>
      </c>
      <c r="Q159" s="4" t="n">
        <v>1</v>
      </c>
      <c r="R159" s="10" t="n">
        <f aca="false">IF(N159&lt;=12,N159*P159,O159)</f>
        <v>1498</v>
      </c>
      <c r="S159" s="4" t="s">
        <v>27</v>
      </c>
    </row>
    <row r="160" customFormat="false" ht="15" hidden="false" customHeight="false" outlineLevel="0" collapsed="false">
      <c r="A160" s="4" t="s">
        <v>98</v>
      </c>
      <c r="B160" s="4" t="s">
        <v>560</v>
      </c>
      <c r="C160" s="4" t="s">
        <v>561</v>
      </c>
      <c r="D160" s="4" t="s">
        <v>562</v>
      </c>
      <c r="E160" s="5" t="n">
        <f aca="false">DATEVALUE(LEFT(D160,10))</f>
        <v>44855</v>
      </c>
      <c r="F160" s="4" t="s">
        <v>259</v>
      </c>
      <c r="G160" s="15" t="s">
        <v>103</v>
      </c>
      <c r="H160" s="4" t="s">
        <v>104</v>
      </c>
      <c r="I160" s="4" t="s">
        <v>25</v>
      </c>
      <c r="J160" s="4" t="s">
        <v>38</v>
      </c>
      <c r="K160" s="7" t="n">
        <v>45839</v>
      </c>
      <c r="L160" s="7" t="n">
        <v>46204</v>
      </c>
      <c r="M160" s="8" t="n">
        <f aca="false">DATEDIF(K160,L160,"m")</f>
        <v>12</v>
      </c>
      <c r="N160" s="8" t="n">
        <f aca="false">DATEDIF(E160,L160,"m")</f>
        <v>44</v>
      </c>
      <c r="O160" s="9" t="n">
        <v>1498.8</v>
      </c>
      <c r="P160" s="9" t="n">
        <f aca="false">O160/M160</f>
        <v>124.9</v>
      </c>
      <c r="Q160" s="4" t="n">
        <v>1</v>
      </c>
      <c r="R160" s="10" t="n">
        <f aca="false">IF(N160&lt;=12,N160*P160,O160)</f>
        <v>1498.8</v>
      </c>
      <c r="S160" s="4" t="s">
        <v>27</v>
      </c>
    </row>
    <row r="161" customFormat="false" ht="15" hidden="false" customHeight="false" outlineLevel="0" collapsed="false">
      <c r="A161" s="4" t="s">
        <v>28</v>
      </c>
      <c r="B161" s="4" t="s">
        <v>563</v>
      </c>
      <c r="C161" s="4" t="s">
        <v>564</v>
      </c>
      <c r="D161" s="11" t="s">
        <v>565</v>
      </c>
      <c r="E161" s="5" t="n">
        <f aca="false">DATEVALUE(LEFT(D161,10))</f>
        <v>45301</v>
      </c>
      <c r="F161" s="4" t="s">
        <v>566</v>
      </c>
      <c r="G161" s="15" t="s">
        <v>74</v>
      </c>
      <c r="H161" s="4" t="s">
        <v>24</v>
      </c>
      <c r="I161" s="4" t="s">
        <v>25</v>
      </c>
      <c r="J161" s="4" t="s">
        <v>26</v>
      </c>
      <c r="K161" s="7" t="n">
        <v>45777</v>
      </c>
      <c r="L161" s="7" t="n">
        <v>46142</v>
      </c>
      <c r="M161" s="8" t="n">
        <f aca="false">DATEDIF(K161,L161,"m")</f>
        <v>12</v>
      </c>
      <c r="N161" s="8" t="n">
        <f aca="false">DATEDIF(E161,L161,"m")</f>
        <v>27</v>
      </c>
      <c r="O161" s="12" t="n">
        <v>1663</v>
      </c>
      <c r="P161" s="12" t="n">
        <f aca="false">O161/12</f>
        <v>138.583333333333</v>
      </c>
      <c r="Q161" s="4" t="n">
        <v>1</v>
      </c>
      <c r="R161" s="10" t="n">
        <f aca="false">IF(N161&lt;=12,N161*P161,O161)</f>
        <v>1663</v>
      </c>
      <c r="S161" s="4" t="s">
        <v>27</v>
      </c>
    </row>
    <row r="162" customFormat="false" ht="15" hidden="false" customHeight="false" outlineLevel="0" collapsed="false">
      <c r="A162" s="4" t="s">
        <v>28</v>
      </c>
      <c r="B162" s="4" t="s">
        <v>563</v>
      </c>
      <c r="C162" s="4" t="s">
        <v>564</v>
      </c>
      <c r="D162" s="11" t="s">
        <v>565</v>
      </c>
      <c r="E162" s="5" t="n">
        <f aca="false">DATEVALUE(LEFT(D162,10))</f>
        <v>45301</v>
      </c>
      <c r="F162" s="4" t="s">
        <v>566</v>
      </c>
      <c r="G162" s="15" t="s">
        <v>74</v>
      </c>
      <c r="H162" s="4" t="s">
        <v>24</v>
      </c>
      <c r="I162" s="4" t="s">
        <v>132</v>
      </c>
      <c r="J162" s="4" t="s">
        <v>26</v>
      </c>
      <c r="K162" s="7" t="n">
        <v>45937</v>
      </c>
      <c r="L162" s="7" t="n">
        <v>46302</v>
      </c>
      <c r="M162" s="8" t="n">
        <f aca="false">DATEDIF(K162,L162,"m")</f>
        <v>12</v>
      </c>
      <c r="N162" s="8" t="n">
        <f aca="false">DATEDIF(E162,L162,"m")</f>
        <v>32</v>
      </c>
      <c r="O162" s="12" t="s">
        <v>567</v>
      </c>
      <c r="P162" s="12" t="n">
        <f aca="false">O162/12</f>
        <v>322.158333333333</v>
      </c>
      <c r="Q162" s="4" t="n">
        <v>1</v>
      </c>
      <c r="R162" s="10" t="n">
        <v>3865.9</v>
      </c>
      <c r="S162" s="4" t="s">
        <v>27</v>
      </c>
    </row>
    <row r="163" customFormat="false" ht="15" hidden="false" customHeight="false" outlineLevel="0" collapsed="false">
      <c r="A163" s="4" t="s">
        <v>19</v>
      </c>
      <c r="B163" s="4" t="s">
        <v>568</v>
      </c>
      <c r="C163" s="4" t="s">
        <v>569</v>
      </c>
      <c r="D163" s="4" t="s">
        <v>570</v>
      </c>
      <c r="E163" s="5" t="n">
        <f aca="false">DATEVALUE(LEFT(D163,10))</f>
        <v>45699</v>
      </c>
      <c r="F163" s="4" t="s">
        <v>23</v>
      </c>
      <c r="G163" s="4" t="s">
        <v>23</v>
      </c>
      <c r="H163" s="6" t="s">
        <v>24</v>
      </c>
      <c r="I163" s="4" t="s">
        <v>25</v>
      </c>
      <c r="J163" s="4" t="s">
        <v>26</v>
      </c>
      <c r="K163" s="7" t="n">
        <v>45814</v>
      </c>
      <c r="L163" s="7" t="n">
        <v>46179</v>
      </c>
      <c r="M163" s="8" t="n">
        <f aca="false">DATEDIF(K163,L163,"m")</f>
        <v>12</v>
      </c>
      <c r="N163" s="8" t="n">
        <f aca="false">DATEDIF(E163,L163,"m")</f>
        <v>15</v>
      </c>
      <c r="O163" s="9" t="n">
        <v>1794.5</v>
      </c>
      <c r="P163" s="9" t="n">
        <f aca="false">O163/M163</f>
        <v>149.541666666667</v>
      </c>
      <c r="Q163" s="4" t="n">
        <v>1</v>
      </c>
      <c r="R163" s="10" t="n">
        <f aca="false">IF(N163&lt;=12,N163*P163,O163)</f>
        <v>1794.5</v>
      </c>
      <c r="S163" s="4" t="s">
        <v>27</v>
      </c>
    </row>
    <row r="164" customFormat="false" ht="15" hidden="false" customHeight="false" outlineLevel="0" collapsed="false">
      <c r="A164" s="4" t="s">
        <v>28</v>
      </c>
      <c r="B164" s="4" t="s">
        <v>571</v>
      </c>
      <c r="C164" s="4" t="s">
        <v>572</v>
      </c>
      <c r="D164" s="11" t="s">
        <v>573</v>
      </c>
      <c r="E164" s="5" t="n">
        <f aca="false">DATEVALUE(LEFT(D164,10))</f>
        <v>44855</v>
      </c>
      <c r="F164" s="4" t="s">
        <v>350</v>
      </c>
      <c r="G164" s="15" t="s">
        <v>265</v>
      </c>
      <c r="H164" s="4" t="s">
        <v>24</v>
      </c>
      <c r="I164" s="4" t="s">
        <v>37</v>
      </c>
      <c r="J164" s="4" t="s">
        <v>38</v>
      </c>
      <c r="K164" s="7" t="n">
        <v>45944</v>
      </c>
      <c r="L164" s="7" t="n">
        <v>46309</v>
      </c>
      <c r="M164" s="8" t="n">
        <f aca="false">DATEDIF(K164,L164,"m")</f>
        <v>12</v>
      </c>
      <c r="N164" s="8" t="n">
        <f aca="false">DATEDIF(E164,L164,"m")</f>
        <v>47</v>
      </c>
      <c r="O164" s="12" t="n">
        <v>298.8</v>
      </c>
      <c r="P164" s="9" t="n">
        <f aca="false">O164/M164</f>
        <v>24.9</v>
      </c>
      <c r="Q164" s="4" t="n">
        <v>1</v>
      </c>
      <c r="R164" s="10" t="n">
        <f aca="false">IF(N164&lt;=12,N164*P164,O164)</f>
        <v>298.8</v>
      </c>
      <c r="S164" s="4" t="s">
        <v>27</v>
      </c>
    </row>
    <row r="165" customFormat="false" ht="15" hidden="false" customHeight="false" outlineLevel="0" collapsed="false">
      <c r="A165" s="4" t="s">
        <v>28</v>
      </c>
      <c r="B165" s="4" t="s">
        <v>571</v>
      </c>
      <c r="C165" s="4" t="s">
        <v>572</v>
      </c>
      <c r="D165" s="11" t="s">
        <v>573</v>
      </c>
      <c r="E165" s="5" t="n">
        <f aca="false">DATEVALUE(LEFT(D165,10))</f>
        <v>44855</v>
      </c>
      <c r="F165" s="4" t="s">
        <v>350</v>
      </c>
      <c r="G165" s="15" t="s">
        <v>265</v>
      </c>
      <c r="H165" s="4" t="s">
        <v>24</v>
      </c>
      <c r="I165" s="4" t="s">
        <v>80</v>
      </c>
      <c r="J165" s="4" t="s">
        <v>38</v>
      </c>
      <c r="K165" s="7" t="n">
        <v>45997</v>
      </c>
      <c r="L165" s="7" t="n">
        <v>46362</v>
      </c>
      <c r="M165" s="8" t="n">
        <f aca="false">DATEDIF(K165,L165,"m")</f>
        <v>12</v>
      </c>
      <c r="N165" s="8" t="n">
        <f aca="false">DATEDIF(E165,L165,"m")</f>
        <v>49</v>
      </c>
      <c r="O165" s="16" t="n">
        <v>542.8</v>
      </c>
      <c r="P165" s="12" t="n">
        <f aca="false">O165/12</f>
        <v>45.2333333333333</v>
      </c>
      <c r="Q165" s="4" t="n">
        <v>1</v>
      </c>
      <c r="R165" s="10" t="n">
        <f aca="false">IF(N165&lt;=12,N165*P165,O165)</f>
        <v>542.8</v>
      </c>
      <c r="S165" s="4" t="s">
        <v>27</v>
      </c>
    </row>
    <row r="166" customFormat="false" ht="15" hidden="false" customHeight="false" outlineLevel="0" collapsed="false">
      <c r="A166" s="4" t="s">
        <v>28</v>
      </c>
      <c r="B166" s="4" t="s">
        <v>574</v>
      </c>
      <c r="C166" s="4" t="s">
        <v>575</v>
      </c>
      <c r="D166" s="4" t="s">
        <v>576</v>
      </c>
      <c r="E166" s="5" t="n">
        <f aca="false">DATEVALUE(LEFT(D166,10))</f>
        <v>45125</v>
      </c>
      <c r="F166" s="4" t="s">
        <v>181</v>
      </c>
      <c r="G166" s="15" t="s">
        <v>380</v>
      </c>
      <c r="H166" s="4" t="s">
        <v>24</v>
      </c>
      <c r="I166" s="4" t="s">
        <v>80</v>
      </c>
      <c r="J166" s="4" t="s">
        <v>38</v>
      </c>
      <c r="K166" s="7" t="n">
        <v>45997</v>
      </c>
      <c r="L166" s="7" t="n">
        <v>46362</v>
      </c>
      <c r="M166" s="8" t="n">
        <f aca="false">DATEDIF(K166,L166,"m")</f>
        <v>12</v>
      </c>
      <c r="N166" s="8" t="n">
        <f aca="false">DATEDIF(E166,L166,"m")</f>
        <v>40</v>
      </c>
      <c r="O166" s="16" t="n">
        <v>542.8</v>
      </c>
      <c r="P166" s="12" t="n">
        <f aca="false">O166/12</f>
        <v>45.2333333333333</v>
      </c>
      <c r="Q166" s="4" t="n">
        <v>1</v>
      </c>
      <c r="R166" s="10" t="n">
        <f aca="false">IF(N166&lt;=12,N166*P166,O166)</f>
        <v>542.8</v>
      </c>
      <c r="S166" s="4" t="s">
        <v>27</v>
      </c>
    </row>
    <row r="167" customFormat="false" ht="15" hidden="false" customHeight="false" outlineLevel="0" collapsed="false">
      <c r="A167" s="4" t="s">
        <v>28</v>
      </c>
      <c r="B167" s="4" t="s">
        <v>577</v>
      </c>
      <c r="C167" s="4" t="s">
        <v>578</v>
      </c>
      <c r="D167" s="11" t="s">
        <v>579</v>
      </c>
      <c r="E167" s="5" t="n">
        <f aca="false">DATEVALUE(LEFT(D167,10))</f>
        <v>44855</v>
      </c>
      <c r="F167" s="4" t="s">
        <v>172</v>
      </c>
      <c r="G167" s="15" t="s">
        <v>173</v>
      </c>
      <c r="H167" s="4" t="s">
        <v>24</v>
      </c>
      <c r="I167" s="4" t="s">
        <v>25</v>
      </c>
      <c r="J167" s="4" t="s">
        <v>26</v>
      </c>
      <c r="K167" s="7" t="n">
        <v>45777</v>
      </c>
      <c r="L167" s="7" t="n">
        <v>46142</v>
      </c>
      <c r="M167" s="8" t="n">
        <f aca="false">DATEDIF(K167,L167,"m")</f>
        <v>12</v>
      </c>
      <c r="N167" s="8" t="n">
        <f aca="false">DATEDIF(E167,L167,"m")</f>
        <v>42</v>
      </c>
      <c r="O167" s="12" t="n">
        <v>1663</v>
      </c>
      <c r="P167" s="12" t="n">
        <f aca="false">O167/12</f>
        <v>138.583333333333</v>
      </c>
      <c r="Q167" s="4" t="n">
        <v>1</v>
      </c>
      <c r="R167" s="10" t="n">
        <f aca="false">IF(N167&lt;=12,N167*P167,O167)</f>
        <v>1663</v>
      </c>
      <c r="S167" s="4" t="s">
        <v>27</v>
      </c>
    </row>
    <row r="168" customFormat="false" ht="15" hidden="false" customHeight="false" outlineLevel="0" collapsed="false">
      <c r="A168" s="4" t="s">
        <v>28</v>
      </c>
      <c r="B168" s="4" t="s">
        <v>580</v>
      </c>
      <c r="C168" s="4" t="s">
        <v>581</v>
      </c>
      <c r="D168" s="11" t="s">
        <v>582</v>
      </c>
      <c r="E168" s="5" t="n">
        <f aca="false">DATEVALUE(LEFT(D168,10))</f>
        <v>44855</v>
      </c>
      <c r="F168" s="4" t="s">
        <v>141</v>
      </c>
      <c r="G168" s="15" t="s">
        <v>142</v>
      </c>
      <c r="H168" s="4" t="s">
        <v>24</v>
      </c>
      <c r="I168" s="4" t="s">
        <v>37</v>
      </c>
      <c r="J168" s="4" t="s">
        <v>38</v>
      </c>
      <c r="K168" s="7" t="n">
        <v>45944</v>
      </c>
      <c r="L168" s="7" t="n">
        <v>46309</v>
      </c>
      <c r="M168" s="8" t="n">
        <f aca="false">DATEDIF(K168,L168,"m")</f>
        <v>12</v>
      </c>
      <c r="N168" s="8" t="n">
        <f aca="false">DATEDIF(E168,L168,"m")</f>
        <v>47</v>
      </c>
      <c r="O168" s="12" t="n">
        <v>298.8</v>
      </c>
      <c r="P168" s="9" t="n">
        <f aca="false">O168/M168</f>
        <v>24.9</v>
      </c>
      <c r="Q168" s="4" t="n">
        <v>1</v>
      </c>
      <c r="R168" s="10" t="n">
        <f aca="false">IF(N168&lt;=12,N168*P168,O168)</f>
        <v>298.8</v>
      </c>
      <c r="S168" s="4" t="s">
        <v>27</v>
      </c>
    </row>
    <row r="169" customFormat="false" ht="15" hidden="false" customHeight="false" outlineLevel="0" collapsed="false">
      <c r="A169" s="4" t="s">
        <v>146</v>
      </c>
      <c r="B169" s="4" t="s">
        <v>583</v>
      </c>
      <c r="C169" s="4" t="s">
        <v>584</v>
      </c>
      <c r="D169" s="4" t="s">
        <v>585</v>
      </c>
      <c r="E169" s="5" t="n">
        <f aca="false">DATEVALUE(LEFT(D169,10))</f>
        <v>45821</v>
      </c>
      <c r="F169" s="4" t="s">
        <v>149</v>
      </c>
      <c r="G169" s="4" t="s">
        <v>149</v>
      </c>
      <c r="H169" s="4" t="s">
        <v>24</v>
      </c>
      <c r="I169" s="19" t="s">
        <v>37</v>
      </c>
      <c r="J169" s="4" t="s">
        <v>38</v>
      </c>
      <c r="K169" s="7" t="n">
        <v>45814</v>
      </c>
      <c r="L169" s="7" t="n">
        <v>46179</v>
      </c>
      <c r="M169" s="8" t="n">
        <f aca="false">DATEDIF(K169,L169,"m")</f>
        <v>12</v>
      </c>
      <c r="N169" s="8" t="n">
        <f aca="false">DATEDIF(E169,L169,"m")</f>
        <v>11</v>
      </c>
      <c r="O169" s="9" t="n">
        <v>354.6</v>
      </c>
      <c r="P169" s="9" t="n">
        <f aca="false">O169/M169</f>
        <v>29.55</v>
      </c>
      <c r="Q169" s="4" t="n">
        <v>1</v>
      </c>
      <c r="R169" s="10" t="n">
        <f aca="false">IF(N169&lt;=12,N169*P169,O169)</f>
        <v>325.05</v>
      </c>
      <c r="S169" s="4" t="s">
        <v>27</v>
      </c>
    </row>
    <row r="170" customFormat="false" ht="15" hidden="false" customHeight="false" outlineLevel="0" collapsed="false">
      <c r="A170" s="4" t="s">
        <v>146</v>
      </c>
      <c r="B170" s="4" t="s">
        <v>583</v>
      </c>
      <c r="C170" s="4" t="s">
        <v>584</v>
      </c>
      <c r="D170" s="4" t="s">
        <v>585</v>
      </c>
      <c r="E170" s="5" t="n">
        <f aca="false">DATEVALUE(LEFT(D170,10))</f>
        <v>45821</v>
      </c>
      <c r="F170" s="4" t="s">
        <v>149</v>
      </c>
      <c r="G170" s="4" t="s">
        <v>149</v>
      </c>
      <c r="H170" s="4" t="s">
        <v>24</v>
      </c>
      <c r="I170" s="20" t="s">
        <v>153</v>
      </c>
      <c r="J170" s="21" t="s">
        <v>26</v>
      </c>
      <c r="K170" s="18" t="n">
        <v>45814</v>
      </c>
      <c r="L170" s="18" t="n">
        <v>46179</v>
      </c>
      <c r="M170" s="8" t="n">
        <f aca="false">DATEDIF(K170,L170,"m")</f>
        <v>12</v>
      </c>
      <c r="N170" s="8" t="n">
        <f aca="false">DATEDIF(E170,L170,"m")</f>
        <v>11</v>
      </c>
      <c r="O170" s="9" t="n">
        <v>688</v>
      </c>
      <c r="P170" s="12" t="n">
        <f aca="false">O170/12</f>
        <v>57.3333333333333</v>
      </c>
      <c r="Q170" s="4" t="n">
        <v>1</v>
      </c>
      <c r="R170" s="10" t="n">
        <f aca="false">IF(N170&lt;=12,N170*P170,O170)</f>
        <v>630.666666666667</v>
      </c>
      <c r="S170" s="4" t="s">
        <v>27</v>
      </c>
    </row>
    <row r="171" customFormat="false" ht="15" hidden="false" customHeight="false" outlineLevel="0" collapsed="false">
      <c r="A171" s="4" t="s">
        <v>28</v>
      </c>
      <c r="B171" s="4" t="s">
        <v>586</v>
      </c>
      <c r="C171" s="4" t="s">
        <v>587</v>
      </c>
      <c r="D171" s="11" t="s">
        <v>588</v>
      </c>
      <c r="E171" s="5" t="n">
        <f aca="false">DATEVALUE(LEFT(D171,10))</f>
        <v>45923</v>
      </c>
      <c r="F171" s="4" t="s">
        <v>122</v>
      </c>
      <c r="G171" s="4" t="s">
        <v>123</v>
      </c>
      <c r="H171" s="4" t="s">
        <v>24</v>
      </c>
      <c r="I171" s="22" t="s">
        <v>25</v>
      </c>
      <c r="J171" s="4" t="s">
        <v>26</v>
      </c>
      <c r="K171" s="7" t="n">
        <v>45777</v>
      </c>
      <c r="L171" s="7" t="n">
        <v>46142</v>
      </c>
      <c r="M171" s="8" t="n">
        <f aca="false">DATEDIF(K171,L171,"m")</f>
        <v>12</v>
      </c>
      <c r="N171" s="8" t="n">
        <f aca="false">DATEDIF(E171,L171,"m")</f>
        <v>7</v>
      </c>
      <c r="O171" s="12" t="n">
        <v>1663</v>
      </c>
      <c r="P171" s="12" t="n">
        <f aca="false">O171/12</f>
        <v>138.583333333333</v>
      </c>
      <c r="Q171" s="4" t="n">
        <v>1</v>
      </c>
      <c r="R171" s="10" t="n">
        <f aca="false">IF(N171&lt;=12,N171*P171,O171)</f>
        <v>970.083333333333</v>
      </c>
      <c r="S171" s="4" t="s">
        <v>27</v>
      </c>
    </row>
    <row r="172" customFormat="false" ht="15" hidden="false" customHeight="false" outlineLevel="0" collapsed="false">
      <c r="A172" s="4" t="s">
        <v>98</v>
      </c>
      <c r="B172" s="4" t="s">
        <v>589</v>
      </c>
      <c r="C172" s="4" t="s">
        <v>590</v>
      </c>
      <c r="D172" s="4" t="s">
        <v>591</v>
      </c>
      <c r="E172" s="5" t="n">
        <f aca="false">DATEVALUE(LEFT(D172,10))</f>
        <v>45463</v>
      </c>
      <c r="F172" s="4" t="s">
        <v>102</v>
      </c>
      <c r="G172" s="15" t="s">
        <v>103</v>
      </c>
      <c r="H172" s="4" t="s">
        <v>104</v>
      </c>
      <c r="I172" s="4" t="s">
        <v>25</v>
      </c>
      <c r="J172" s="4" t="s">
        <v>38</v>
      </c>
      <c r="K172" s="7" t="n">
        <v>45839</v>
      </c>
      <c r="L172" s="7" t="n">
        <v>46204</v>
      </c>
      <c r="M172" s="8" t="n">
        <f aca="false">DATEDIF(K172,L172,"m")</f>
        <v>12</v>
      </c>
      <c r="N172" s="8" t="n">
        <f aca="false">DATEDIF(E172,L172,"m")</f>
        <v>24</v>
      </c>
      <c r="O172" s="9" t="n">
        <v>1498.8</v>
      </c>
      <c r="P172" s="9" t="n">
        <f aca="false">O172/M172</f>
        <v>124.9</v>
      </c>
      <c r="Q172" s="4" t="n">
        <v>1</v>
      </c>
      <c r="R172" s="10" t="n">
        <f aca="false">IF(N172&lt;=12,N172*P172,O172)</f>
        <v>1498.8</v>
      </c>
      <c r="S172" s="4" t="s">
        <v>27</v>
      </c>
    </row>
    <row r="173" customFormat="false" ht="15" hidden="false" customHeight="false" outlineLevel="0" collapsed="false">
      <c r="A173" s="4" t="s">
        <v>28</v>
      </c>
      <c r="B173" s="4" t="s">
        <v>592</v>
      </c>
      <c r="C173" s="4" t="s">
        <v>593</v>
      </c>
      <c r="D173" s="11" t="s">
        <v>594</v>
      </c>
      <c r="E173" s="5" t="n">
        <f aca="false">DATEVALUE(LEFT(D173,10))</f>
        <v>45838</v>
      </c>
      <c r="F173" s="4" t="s">
        <v>91</v>
      </c>
      <c r="G173" s="15" t="s">
        <v>92</v>
      </c>
      <c r="H173" s="4" t="s">
        <v>24</v>
      </c>
      <c r="I173" s="4" t="s">
        <v>25</v>
      </c>
      <c r="J173" s="4" t="s">
        <v>26</v>
      </c>
      <c r="K173" s="7" t="n">
        <v>45777</v>
      </c>
      <c r="L173" s="7" t="n">
        <v>46142</v>
      </c>
      <c r="M173" s="8" t="n">
        <f aca="false">DATEDIF(K173,L173,"m")</f>
        <v>12</v>
      </c>
      <c r="N173" s="8" t="n">
        <f aca="false">DATEDIF(E173,L173,"m")</f>
        <v>10</v>
      </c>
      <c r="O173" s="12" t="n">
        <v>1663</v>
      </c>
      <c r="P173" s="12" t="n">
        <f aca="false">O173/12</f>
        <v>138.583333333333</v>
      </c>
      <c r="Q173" s="4" t="n">
        <v>1</v>
      </c>
      <c r="R173" s="10" t="n">
        <f aca="false">IF(N173&lt;=12,N173*P173,O173)</f>
        <v>1385.83333333333</v>
      </c>
      <c r="S173" s="4" t="s">
        <v>27</v>
      </c>
    </row>
    <row r="174" customFormat="false" ht="15" hidden="false" customHeight="false" outlineLevel="0" collapsed="false">
      <c r="A174" s="4" t="s">
        <v>28</v>
      </c>
      <c r="B174" s="4" t="s">
        <v>595</v>
      </c>
      <c r="C174" s="4" t="s">
        <v>596</v>
      </c>
      <c r="D174" s="11" t="s">
        <v>597</v>
      </c>
      <c r="E174" s="5" t="n">
        <f aca="false">DATEVALUE(LEFT(D174,10))</f>
        <v>44855</v>
      </c>
      <c r="F174" s="4" t="s">
        <v>141</v>
      </c>
      <c r="G174" s="15" t="s">
        <v>598</v>
      </c>
      <c r="H174" s="4" t="s">
        <v>24</v>
      </c>
      <c r="I174" s="4" t="s">
        <v>25</v>
      </c>
      <c r="J174" s="4" t="s">
        <v>26</v>
      </c>
      <c r="K174" s="7" t="n">
        <v>45777</v>
      </c>
      <c r="L174" s="7" t="n">
        <v>46142</v>
      </c>
      <c r="M174" s="8" t="n">
        <f aca="false">DATEDIF(K174,L174,"m")</f>
        <v>12</v>
      </c>
      <c r="N174" s="8" t="n">
        <f aca="false">DATEDIF(E174,L174,"m")</f>
        <v>42</v>
      </c>
      <c r="O174" s="12" t="n">
        <v>1663</v>
      </c>
      <c r="P174" s="12" t="n">
        <f aca="false">O174/12</f>
        <v>138.583333333333</v>
      </c>
      <c r="Q174" s="4" t="n">
        <v>1</v>
      </c>
      <c r="R174" s="10" t="n">
        <f aca="false">IF(N174&lt;=12,N174*P174,O174)</f>
        <v>1663</v>
      </c>
      <c r="S174" s="4" t="s">
        <v>27</v>
      </c>
    </row>
    <row r="175" customFormat="false" ht="15" hidden="false" customHeight="false" outlineLevel="0" collapsed="false">
      <c r="A175" s="4" t="s">
        <v>28</v>
      </c>
      <c r="B175" s="4" t="s">
        <v>599</v>
      </c>
      <c r="C175" s="4" t="s">
        <v>600</v>
      </c>
      <c r="D175" s="11" t="s">
        <v>601</v>
      </c>
      <c r="E175" s="5" t="n">
        <f aca="false">DATEVALUE(LEFT(D175,10))</f>
        <v>44855</v>
      </c>
      <c r="F175" s="4" t="s">
        <v>141</v>
      </c>
      <c r="G175" s="15" t="s">
        <v>142</v>
      </c>
      <c r="H175" s="4" t="s">
        <v>24</v>
      </c>
      <c r="I175" s="4" t="s">
        <v>37</v>
      </c>
      <c r="J175" s="4" t="s">
        <v>38</v>
      </c>
      <c r="K175" s="7" t="n">
        <v>45944</v>
      </c>
      <c r="L175" s="7" t="n">
        <v>46309</v>
      </c>
      <c r="M175" s="8" t="n">
        <f aca="false">DATEDIF(K175,L175,"m")</f>
        <v>12</v>
      </c>
      <c r="N175" s="8" t="n">
        <f aca="false">DATEDIF(E175,L175,"m")</f>
        <v>47</v>
      </c>
      <c r="O175" s="12" t="n">
        <v>298.8</v>
      </c>
      <c r="P175" s="9" t="n">
        <f aca="false">O175/M175</f>
        <v>24.9</v>
      </c>
      <c r="Q175" s="4" t="n">
        <v>1</v>
      </c>
      <c r="R175" s="10" t="n">
        <f aca="false">IF(N175&lt;=12,N175*P175,O175)</f>
        <v>298.8</v>
      </c>
      <c r="S175" s="4" t="s">
        <v>27</v>
      </c>
    </row>
    <row r="176" customFormat="false" ht="15" hidden="false" customHeight="false" outlineLevel="0" collapsed="false">
      <c r="A176" s="4" t="s">
        <v>28</v>
      </c>
      <c r="B176" s="4" t="s">
        <v>602</v>
      </c>
      <c r="C176" s="4" t="s">
        <v>603</v>
      </c>
      <c r="D176" s="4" t="s">
        <v>604</v>
      </c>
      <c r="E176" s="5" t="n">
        <f aca="false">DATEVALUE(LEFT(D176,10))</f>
        <v>45846</v>
      </c>
      <c r="F176" s="4" t="s">
        <v>181</v>
      </c>
      <c r="G176" s="15" t="s">
        <v>605</v>
      </c>
      <c r="H176" s="4" t="s">
        <v>24</v>
      </c>
      <c r="I176" s="4" t="s">
        <v>25</v>
      </c>
      <c r="J176" s="4" t="s">
        <v>26</v>
      </c>
      <c r="K176" s="7" t="n">
        <v>45777</v>
      </c>
      <c r="L176" s="7" t="n">
        <v>46142</v>
      </c>
      <c r="M176" s="8" t="n">
        <f aca="false">DATEDIF(K176,L176,"m")</f>
        <v>12</v>
      </c>
      <c r="N176" s="8" t="n">
        <f aca="false">DATEDIF(E176,L176,"m")</f>
        <v>9</v>
      </c>
      <c r="O176" s="9" t="n">
        <v>1498</v>
      </c>
      <c r="P176" s="12" t="n">
        <f aca="false">O176/12</f>
        <v>124.833333333333</v>
      </c>
      <c r="Q176" s="4" t="n">
        <v>1</v>
      </c>
      <c r="R176" s="10" t="n">
        <f aca="false">IF(N176&lt;=12,N176*P176,O176)</f>
        <v>1123.5</v>
      </c>
      <c r="S176" s="4" t="s">
        <v>27</v>
      </c>
    </row>
    <row r="177" customFormat="false" ht="15" hidden="false" customHeight="false" outlineLevel="0" collapsed="false">
      <c r="A177" s="4" t="s">
        <v>28</v>
      </c>
      <c r="B177" s="4" t="s">
        <v>602</v>
      </c>
      <c r="C177" s="4" t="s">
        <v>603</v>
      </c>
      <c r="D177" s="4" t="s">
        <v>604</v>
      </c>
      <c r="E177" s="5" t="n">
        <f aca="false">DATEVALUE(LEFT(D177,10))</f>
        <v>45846</v>
      </c>
      <c r="F177" s="4" t="s">
        <v>181</v>
      </c>
      <c r="G177" s="15" t="s">
        <v>605</v>
      </c>
      <c r="H177" s="4" t="s">
        <v>24</v>
      </c>
      <c r="I177" s="4" t="s">
        <v>80</v>
      </c>
      <c r="J177" s="4" t="s">
        <v>38</v>
      </c>
      <c r="K177" s="7" t="n">
        <v>45997</v>
      </c>
      <c r="L177" s="7" t="n">
        <v>46362</v>
      </c>
      <c r="M177" s="8" t="n">
        <f aca="false">DATEDIF(K177,L177,"m")</f>
        <v>12</v>
      </c>
      <c r="N177" s="8" t="n">
        <f aca="false">DATEDIF(E177,L177,"m")</f>
        <v>16</v>
      </c>
      <c r="O177" s="16" t="n">
        <v>542.8</v>
      </c>
      <c r="P177" s="12" t="n">
        <f aca="false">O177/12</f>
        <v>45.2333333333333</v>
      </c>
      <c r="Q177" s="4" t="n">
        <v>1</v>
      </c>
      <c r="R177" s="10" t="n">
        <f aca="false">IF(N177&lt;=12,N177*P177,O177)</f>
        <v>542.8</v>
      </c>
      <c r="S177" s="4" t="s">
        <v>27</v>
      </c>
    </row>
    <row r="178" customFormat="false" ht="15" hidden="false" customHeight="false" outlineLevel="0" collapsed="false">
      <c r="A178" s="4" t="s">
        <v>28</v>
      </c>
      <c r="B178" s="4" t="s">
        <v>606</v>
      </c>
      <c r="C178" s="4" t="s">
        <v>607</v>
      </c>
      <c r="D178" s="11" t="s">
        <v>608</v>
      </c>
      <c r="E178" s="5" t="n">
        <f aca="false">DATEVALUE(LEFT(D178,10))</f>
        <v>44855</v>
      </c>
      <c r="F178" s="4" t="s">
        <v>122</v>
      </c>
      <c r="G178" s="4" t="s">
        <v>123</v>
      </c>
      <c r="H178" s="4" t="s">
        <v>24</v>
      </c>
      <c r="I178" s="4" t="s">
        <v>25</v>
      </c>
      <c r="J178" s="4" t="s">
        <v>26</v>
      </c>
      <c r="K178" s="7" t="n">
        <v>45777</v>
      </c>
      <c r="L178" s="7" t="n">
        <v>46142</v>
      </c>
      <c r="M178" s="8" t="n">
        <f aca="false">DATEDIF(K178,L178,"m")</f>
        <v>12</v>
      </c>
      <c r="N178" s="8" t="n">
        <f aca="false">DATEDIF(E178,L178,"m")</f>
        <v>42</v>
      </c>
      <c r="O178" s="12" t="n">
        <v>1663</v>
      </c>
      <c r="P178" s="12" t="n">
        <f aca="false">O178/12</f>
        <v>138.583333333333</v>
      </c>
      <c r="Q178" s="4" t="n">
        <v>1</v>
      </c>
      <c r="R178" s="10" t="n">
        <f aca="false">IF(N178&lt;=12,N178*P178,O178)</f>
        <v>1663</v>
      </c>
      <c r="S178" s="4" t="s">
        <v>27</v>
      </c>
    </row>
    <row r="179" customFormat="false" ht="15" hidden="false" customHeight="false" outlineLevel="0" collapsed="false">
      <c r="A179" s="4" t="s">
        <v>28</v>
      </c>
      <c r="B179" s="4" t="s">
        <v>609</v>
      </c>
      <c r="C179" s="4" t="s">
        <v>610</v>
      </c>
      <c r="D179" s="11" t="s">
        <v>611</v>
      </c>
      <c r="E179" s="5" t="n">
        <f aca="false">DATEVALUE(LEFT(D179,10))</f>
        <v>44887</v>
      </c>
      <c r="F179" s="4" t="s">
        <v>141</v>
      </c>
      <c r="G179" s="15" t="s">
        <v>142</v>
      </c>
      <c r="H179" s="4" t="s">
        <v>24</v>
      </c>
      <c r="I179" s="4" t="s">
        <v>25</v>
      </c>
      <c r="J179" s="4" t="s">
        <v>26</v>
      </c>
      <c r="K179" s="7" t="n">
        <v>45777</v>
      </c>
      <c r="L179" s="7" t="n">
        <v>46142</v>
      </c>
      <c r="M179" s="8" t="n">
        <f aca="false">DATEDIF(K179,L179,"m")</f>
        <v>12</v>
      </c>
      <c r="N179" s="8" t="n">
        <f aca="false">DATEDIF(E179,L179,"m")</f>
        <v>41</v>
      </c>
      <c r="O179" s="12" t="n">
        <v>1663</v>
      </c>
      <c r="P179" s="12" t="n">
        <f aca="false">O179/12</f>
        <v>138.583333333333</v>
      </c>
      <c r="Q179" s="4" t="n">
        <v>1</v>
      </c>
      <c r="R179" s="10" t="n">
        <f aca="false">IF(N179&lt;=12,N179*P179,O179)</f>
        <v>1663</v>
      </c>
      <c r="S179" s="4" t="s">
        <v>27</v>
      </c>
    </row>
    <row r="180" customFormat="false" ht="15" hidden="false" customHeight="false" outlineLevel="0" collapsed="false">
      <c r="A180" s="4" t="s">
        <v>28</v>
      </c>
      <c r="B180" s="4" t="s">
        <v>612</v>
      </c>
      <c r="C180" s="4" t="s">
        <v>613</v>
      </c>
      <c r="D180" s="11" t="s">
        <v>614</v>
      </c>
      <c r="E180" s="5" t="n">
        <f aca="false">DATEVALUE(LEFT(D180,10))</f>
        <v>45162</v>
      </c>
      <c r="F180" s="4" t="s">
        <v>73</v>
      </c>
      <c r="G180" s="15" t="s">
        <v>74</v>
      </c>
      <c r="H180" s="4" t="s">
        <v>24</v>
      </c>
      <c r="I180" s="4" t="s">
        <v>37</v>
      </c>
      <c r="J180" s="4" t="s">
        <v>38</v>
      </c>
      <c r="K180" s="7" t="n">
        <v>45944</v>
      </c>
      <c r="L180" s="7" t="n">
        <v>46309</v>
      </c>
      <c r="M180" s="8" t="n">
        <f aca="false">DATEDIF(K180,L180,"m")</f>
        <v>12</v>
      </c>
      <c r="N180" s="8" t="n">
        <f aca="false">DATEDIF(E180,L180,"m")</f>
        <v>37</v>
      </c>
      <c r="O180" s="12" t="n">
        <v>298.8</v>
      </c>
      <c r="P180" s="9" t="n">
        <f aca="false">O180/M180</f>
        <v>24.9</v>
      </c>
      <c r="Q180" s="4" t="n">
        <v>1</v>
      </c>
      <c r="R180" s="10" t="n">
        <f aca="false">IF(N180&lt;=12,N180*P180,O180)</f>
        <v>298.8</v>
      </c>
      <c r="S180" s="4" t="s">
        <v>27</v>
      </c>
    </row>
    <row r="181" customFormat="false" ht="15" hidden="false" customHeight="false" outlineLevel="0" collapsed="false">
      <c r="A181" s="4" t="s">
        <v>28</v>
      </c>
      <c r="B181" s="4" t="s">
        <v>615</v>
      </c>
      <c r="C181" s="4" t="s">
        <v>616</v>
      </c>
      <c r="D181" s="4" t="s">
        <v>617</v>
      </c>
      <c r="E181" s="5" t="n">
        <f aca="false">DATEVALUE(LEFT(D181,10))</f>
        <v>45601</v>
      </c>
      <c r="F181" s="13" t="s">
        <v>181</v>
      </c>
      <c r="G181" s="15" t="s">
        <v>618</v>
      </c>
      <c r="H181" s="4" t="s">
        <v>24</v>
      </c>
      <c r="I181" s="4" t="s">
        <v>25</v>
      </c>
      <c r="J181" s="4" t="s">
        <v>26</v>
      </c>
      <c r="K181" s="7" t="n">
        <v>45777</v>
      </c>
      <c r="L181" s="7" t="n">
        <v>46142</v>
      </c>
      <c r="M181" s="8" t="n">
        <f aca="false">DATEDIF(K181,L181,"m")</f>
        <v>12</v>
      </c>
      <c r="N181" s="8" t="n">
        <f aca="false">DATEDIF(E181,L181,"m")</f>
        <v>17</v>
      </c>
      <c r="O181" s="9" t="n">
        <v>1498</v>
      </c>
      <c r="P181" s="12" t="n">
        <f aca="false">O181/12</f>
        <v>124.833333333333</v>
      </c>
      <c r="Q181" s="4" t="n">
        <v>1</v>
      </c>
      <c r="R181" s="10" t="n">
        <f aca="false">IF(N181&lt;=12,N181*P181,O181)</f>
        <v>1498</v>
      </c>
      <c r="S181" s="4" t="s">
        <v>27</v>
      </c>
    </row>
    <row r="182" customFormat="false" ht="15" hidden="false" customHeight="false" outlineLevel="0" collapsed="false">
      <c r="A182" s="4" t="s">
        <v>28</v>
      </c>
      <c r="B182" s="4" t="s">
        <v>619</v>
      </c>
      <c r="C182" s="4" t="s">
        <v>620</v>
      </c>
      <c r="D182" s="11" t="s">
        <v>621</v>
      </c>
      <c r="E182" s="5" t="n">
        <f aca="false">DATEVALUE(LEFT(D182,10))</f>
        <v>45761</v>
      </c>
      <c r="F182" s="4" t="s">
        <v>186</v>
      </c>
      <c r="G182" s="15" t="s">
        <v>622</v>
      </c>
      <c r="H182" s="4" t="s">
        <v>24</v>
      </c>
      <c r="I182" s="4" t="s">
        <v>80</v>
      </c>
      <c r="J182" s="4" t="s">
        <v>38</v>
      </c>
      <c r="K182" s="7" t="n">
        <v>45997</v>
      </c>
      <c r="L182" s="7" t="n">
        <v>46362</v>
      </c>
      <c r="M182" s="8" t="n">
        <f aca="false">DATEDIF(K182,L182,"m")</f>
        <v>12</v>
      </c>
      <c r="N182" s="8" t="n">
        <f aca="false">DATEDIF(E182,L182,"m")</f>
        <v>19</v>
      </c>
      <c r="O182" s="16" t="n">
        <v>542.8</v>
      </c>
      <c r="P182" s="12" t="n">
        <f aca="false">O182/12</f>
        <v>45.2333333333333</v>
      </c>
      <c r="Q182" s="4" t="n">
        <v>1</v>
      </c>
      <c r="R182" s="10" t="n">
        <f aca="false">IF(N182&lt;=12,N182*P182,O182)</f>
        <v>542.8</v>
      </c>
      <c r="S182" s="4" t="s">
        <v>27</v>
      </c>
    </row>
    <row r="183" customFormat="false" ht="15" hidden="false" customHeight="false" outlineLevel="0" collapsed="false">
      <c r="A183" s="4" t="s">
        <v>28</v>
      </c>
      <c r="B183" s="4" t="s">
        <v>623</v>
      </c>
      <c r="C183" s="4" t="s">
        <v>624</v>
      </c>
      <c r="D183" s="11" t="s">
        <v>625</v>
      </c>
      <c r="E183" s="5" t="n">
        <f aca="false">DATEVALUE(LEFT(D183,10))</f>
        <v>44855</v>
      </c>
      <c r="F183" s="4" t="s">
        <v>566</v>
      </c>
      <c r="G183" s="15" t="s">
        <v>626</v>
      </c>
      <c r="H183" s="4" t="s">
        <v>24</v>
      </c>
      <c r="I183" s="4" t="s">
        <v>25</v>
      </c>
      <c r="J183" s="4" t="s">
        <v>26</v>
      </c>
      <c r="K183" s="7" t="n">
        <v>45777</v>
      </c>
      <c r="L183" s="7" t="n">
        <v>46142</v>
      </c>
      <c r="M183" s="8" t="n">
        <f aca="false">DATEDIF(K183,L183,"m")</f>
        <v>12</v>
      </c>
      <c r="N183" s="8" t="n">
        <f aca="false">DATEDIF(E183,L183,"m")</f>
        <v>42</v>
      </c>
      <c r="O183" s="12" t="n">
        <v>1663</v>
      </c>
      <c r="P183" s="12" t="n">
        <f aca="false">O183/12</f>
        <v>138.583333333333</v>
      </c>
      <c r="Q183" s="4" t="n">
        <v>1</v>
      </c>
      <c r="R183" s="10" t="n">
        <f aca="false">IF(N183&lt;=12,N183*P183,O183)</f>
        <v>1663</v>
      </c>
      <c r="S183" s="4" t="s">
        <v>27</v>
      </c>
    </row>
    <row r="184" customFormat="false" ht="15" hidden="false" customHeight="false" outlineLevel="0" collapsed="false">
      <c r="A184" s="4" t="s">
        <v>28</v>
      </c>
      <c r="B184" s="4" t="s">
        <v>627</v>
      </c>
      <c r="C184" s="4" t="s">
        <v>628</v>
      </c>
      <c r="D184" s="11" t="s">
        <v>629</v>
      </c>
      <c r="E184" s="5" t="n">
        <f aca="false">DATEVALUE(LEFT(D184,10))</f>
        <v>45769</v>
      </c>
      <c r="F184" s="4" t="s">
        <v>413</v>
      </c>
      <c r="G184" s="15" t="s">
        <v>414</v>
      </c>
      <c r="H184" s="4" t="s">
        <v>24</v>
      </c>
      <c r="I184" s="4" t="s">
        <v>25</v>
      </c>
      <c r="J184" s="4" t="s">
        <v>26</v>
      </c>
      <c r="K184" s="7" t="n">
        <v>45777</v>
      </c>
      <c r="L184" s="7" t="n">
        <v>46142</v>
      </c>
      <c r="M184" s="8" t="n">
        <f aca="false">DATEDIF(K184,L184,"m")</f>
        <v>12</v>
      </c>
      <c r="N184" s="8" t="n">
        <f aca="false">DATEDIF(E184,L184,"m")</f>
        <v>12</v>
      </c>
      <c r="O184" s="12" t="n">
        <v>1663</v>
      </c>
      <c r="P184" s="12" t="n">
        <f aca="false">O184/12</f>
        <v>138.583333333333</v>
      </c>
      <c r="Q184" s="4" t="n">
        <v>1</v>
      </c>
      <c r="R184" s="10" t="n">
        <f aca="false">IF(N184&lt;=12,N184*P184,O184)</f>
        <v>1663</v>
      </c>
      <c r="S184" s="4" t="s">
        <v>27</v>
      </c>
    </row>
    <row r="185" customFormat="false" ht="15" hidden="false" customHeight="false" outlineLevel="0" collapsed="false">
      <c r="A185" s="4" t="s">
        <v>28</v>
      </c>
      <c r="B185" s="4" t="s">
        <v>630</v>
      </c>
      <c r="C185" s="4" t="s">
        <v>631</v>
      </c>
      <c r="D185" s="11" t="s">
        <v>632</v>
      </c>
      <c r="E185" s="5" t="n">
        <f aca="false">DATEVALUE(LEFT(D185,10))</f>
        <v>44855</v>
      </c>
      <c r="F185" s="4" t="s">
        <v>141</v>
      </c>
      <c r="G185" s="15" t="s">
        <v>633</v>
      </c>
      <c r="H185" s="4" t="s">
        <v>24</v>
      </c>
      <c r="I185" s="4" t="s">
        <v>25</v>
      </c>
      <c r="J185" s="4" t="s">
        <v>26</v>
      </c>
      <c r="K185" s="7" t="n">
        <v>45777</v>
      </c>
      <c r="L185" s="7" t="n">
        <v>46142</v>
      </c>
      <c r="M185" s="8" t="n">
        <f aca="false">DATEDIF(K185,L185,"m")</f>
        <v>12</v>
      </c>
      <c r="N185" s="8" t="n">
        <f aca="false">DATEDIF(E185,L185,"m")</f>
        <v>42</v>
      </c>
      <c r="O185" s="12" t="n">
        <v>1663</v>
      </c>
      <c r="P185" s="12" t="n">
        <f aca="false">O185/12</f>
        <v>138.583333333333</v>
      </c>
      <c r="Q185" s="4" t="n">
        <v>1</v>
      </c>
      <c r="R185" s="10" t="n">
        <f aca="false">IF(N185&lt;=12,N185*P185,O185)</f>
        <v>1663</v>
      </c>
      <c r="S185" s="4" t="s">
        <v>27</v>
      </c>
    </row>
    <row r="186" customFormat="false" ht="15" hidden="false" customHeight="false" outlineLevel="0" collapsed="false">
      <c r="A186" s="4" t="s">
        <v>28</v>
      </c>
      <c r="B186" s="4" t="s">
        <v>634</v>
      </c>
      <c r="C186" s="4" t="s">
        <v>635</v>
      </c>
      <c r="D186" s="4" t="s">
        <v>636</v>
      </c>
      <c r="E186" s="5" t="n">
        <f aca="false">DATEVALUE(LEFT(D186,10))</f>
        <v>45817</v>
      </c>
      <c r="F186" s="13" t="s">
        <v>181</v>
      </c>
      <c r="G186" s="15" t="s">
        <v>637</v>
      </c>
      <c r="H186" s="4" t="s">
        <v>24</v>
      </c>
      <c r="I186" s="4" t="s">
        <v>25</v>
      </c>
      <c r="J186" s="4" t="s">
        <v>26</v>
      </c>
      <c r="K186" s="7" t="n">
        <v>45777</v>
      </c>
      <c r="L186" s="7" t="n">
        <v>46142</v>
      </c>
      <c r="M186" s="8" t="n">
        <f aca="false">DATEDIF(K186,L186,"m")</f>
        <v>12</v>
      </c>
      <c r="N186" s="8" t="n">
        <f aca="false">DATEDIF(E186,L186,"m")</f>
        <v>10</v>
      </c>
      <c r="O186" s="9" t="n">
        <v>1498</v>
      </c>
      <c r="P186" s="12" t="n">
        <f aca="false">O186/12</f>
        <v>124.833333333333</v>
      </c>
      <c r="Q186" s="4" t="n">
        <v>1</v>
      </c>
      <c r="R186" s="10" t="n">
        <f aca="false">IF(N186&lt;=12,N186*P186,O186)</f>
        <v>1248.33333333333</v>
      </c>
      <c r="S186" s="4" t="s">
        <v>27</v>
      </c>
    </row>
    <row r="187" customFormat="false" ht="15" hidden="false" customHeight="false" outlineLevel="0" collapsed="false">
      <c r="A187" s="4" t="s">
        <v>28</v>
      </c>
      <c r="B187" s="4" t="s">
        <v>638</v>
      </c>
      <c r="C187" s="4" t="s">
        <v>639</v>
      </c>
      <c r="D187" s="11" t="s">
        <v>640</v>
      </c>
      <c r="E187" s="5" t="n">
        <f aca="false">DATEVALUE(LEFT(D187,10))</f>
        <v>45684</v>
      </c>
      <c r="F187" s="4" t="s">
        <v>36</v>
      </c>
      <c r="G187" s="15" t="s">
        <v>33</v>
      </c>
      <c r="H187" s="4" t="s">
        <v>24</v>
      </c>
      <c r="I187" s="4" t="s">
        <v>25</v>
      </c>
      <c r="J187" s="4" t="s">
        <v>26</v>
      </c>
      <c r="K187" s="7" t="n">
        <v>45777</v>
      </c>
      <c r="L187" s="7" t="n">
        <v>46142</v>
      </c>
      <c r="M187" s="8" t="n">
        <f aca="false">DATEDIF(K187,L187,"m")</f>
        <v>12</v>
      </c>
      <c r="N187" s="8" t="n">
        <f aca="false">DATEDIF(E187,L187,"m")</f>
        <v>15</v>
      </c>
      <c r="O187" s="12" t="n">
        <v>1663</v>
      </c>
      <c r="P187" s="12" t="n">
        <f aca="false">O187/12</f>
        <v>138.583333333333</v>
      </c>
      <c r="Q187" s="4" t="n">
        <v>1</v>
      </c>
      <c r="R187" s="10" t="n">
        <f aca="false">IF(N187&lt;=12,N187*P187,O187)</f>
        <v>1663</v>
      </c>
      <c r="S187" s="4" t="s">
        <v>27</v>
      </c>
    </row>
    <row r="188" customFormat="false" ht="15" hidden="false" customHeight="false" outlineLevel="0" collapsed="false">
      <c r="A188" s="4" t="s">
        <v>28</v>
      </c>
      <c r="B188" s="4" t="s">
        <v>641</v>
      </c>
      <c r="C188" s="4" t="s">
        <v>642</v>
      </c>
      <c r="D188" s="11" t="s">
        <v>643</v>
      </c>
      <c r="E188" s="5" t="n">
        <f aca="false">DATEVALUE(LEFT(D188,10))</f>
        <v>45390</v>
      </c>
      <c r="F188" s="4" t="s">
        <v>42</v>
      </c>
      <c r="G188" s="15" t="s">
        <v>43</v>
      </c>
      <c r="H188" s="4" t="s">
        <v>24</v>
      </c>
      <c r="I188" s="4" t="s">
        <v>37</v>
      </c>
      <c r="J188" s="4" t="s">
        <v>38</v>
      </c>
      <c r="K188" s="7" t="n">
        <v>45944</v>
      </c>
      <c r="L188" s="7" t="n">
        <v>46309</v>
      </c>
      <c r="M188" s="8" t="n">
        <f aca="false">DATEDIF(K188,L188,"m")</f>
        <v>12</v>
      </c>
      <c r="N188" s="8" t="n">
        <f aca="false">DATEDIF(E188,L188,"m")</f>
        <v>30</v>
      </c>
      <c r="O188" s="12" t="n">
        <v>298.8</v>
      </c>
      <c r="P188" s="9" t="n">
        <f aca="false">O188/M188</f>
        <v>24.9</v>
      </c>
      <c r="Q188" s="4" t="n">
        <v>1</v>
      </c>
      <c r="R188" s="10" t="n">
        <f aca="false">IF(N188&lt;=12,N188*P188,O188)</f>
        <v>298.8</v>
      </c>
      <c r="S188" s="4" t="s">
        <v>27</v>
      </c>
    </row>
    <row r="189" customFormat="false" ht="15" hidden="false" customHeight="false" outlineLevel="0" collapsed="false">
      <c r="A189" s="4" t="s">
        <v>28</v>
      </c>
      <c r="B189" s="4" t="s">
        <v>644</v>
      </c>
      <c r="C189" s="4" t="s">
        <v>645</v>
      </c>
      <c r="D189" s="11" t="s">
        <v>646</v>
      </c>
      <c r="E189" s="5" t="n">
        <f aca="false">DATEVALUE(LEFT(D189,10))</f>
        <v>45874</v>
      </c>
      <c r="F189" s="4" t="s">
        <v>462</v>
      </c>
      <c r="G189" s="15" t="s">
        <v>137</v>
      </c>
      <c r="H189" s="4" t="s">
        <v>24</v>
      </c>
      <c r="I189" s="4" t="s">
        <v>25</v>
      </c>
      <c r="J189" s="4" t="s">
        <v>26</v>
      </c>
      <c r="K189" s="7" t="n">
        <v>45777</v>
      </c>
      <c r="L189" s="7" t="n">
        <v>46142</v>
      </c>
      <c r="M189" s="8" t="n">
        <f aca="false">DATEDIF(K189,L189,"m")</f>
        <v>12</v>
      </c>
      <c r="N189" s="8" t="n">
        <f aca="false">DATEDIF(E189,L189,"m")</f>
        <v>8</v>
      </c>
      <c r="O189" s="12" t="n">
        <v>1663</v>
      </c>
      <c r="P189" s="12" t="n">
        <f aca="false">O189/12</f>
        <v>138.583333333333</v>
      </c>
      <c r="Q189" s="4" t="n">
        <v>1</v>
      </c>
      <c r="R189" s="10" t="n">
        <f aca="false">IF(N189&lt;=12,N189*P189,O189)</f>
        <v>1108.66666666667</v>
      </c>
      <c r="S189" s="4" t="s">
        <v>27</v>
      </c>
    </row>
    <row r="190" customFormat="false" ht="15" hidden="false" customHeight="false" outlineLevel="0" collapsed="false">
      <c r="A190" s="4" t="s">
        <v>28</v>
      </c>
      <c r="B190" s="4" t="s">
        <v>647</v>
      </c>
      <c r="C190" s="4" t="s">
        <v>648</v>
      </c>
      <c r="D190" s="11" t="s">
        <v>649</v>
      </c>
      <c r="E190" s="5" t="n">
        <f aca="false">DATEVALUE(LEFT(D190,10))</f>
        <v>44855</v>
      </c>
      <c r="F190" s="4" t="s">
        <v>42</v>
      </c>
      <c r="G190" s="15" t="s">
        <v>238</v>
      </c>
      <c r="H190" s="4" t="s">
        <v>24</v>
      </c>
      <c r="I190" s="4" t="s">
        <v>25</v>
      </c>
      <c r="J190" s="4" t="s">
        <v>26</v>
      </c>
      <c r="K190" s="7" t="n">
        <v>45777</v>
      </c>
      <c r="L190" s="7" t="n">
        <v>46142</v>
      </c>
      <c r="M190" s="8" t="n">
        <f aca="false">DATEDIF(K190,L190,"m")</f>
        <v>12</v>
      </c>
      <c r="N190" s="8" t="n">
        <f aca="false">DATEDIF(E190,L190,"m")</f>
        <v>42</v>
      </c>
      <c r="O190" s="12" t="n">
        <v>1663</v>
      </c>
      <c r="P190" s="12" t="n">
        <f aca="false">O190/12</f>
        <v>138.583333333333</v>
      </c>
      <c r="Q190" s="4" t="n">
        <v>1</v>
      </c>
      <c r="R190" s="10" t="n">
        <f aca="false">IF(N190&lt;=12,N190*P190,O190)</f>
        <v>1663</v>
      </c>
      <c r="S190" s="4" t="s">
        <v>27</v>
      </c>
    </row>
    <row r="191" customFormat="false" ht="15" hidden="false" customHeight="false" outlineLevel="0" collapsed="false">
      <c r="A191" s="4" t="s">
        <v>28</v>
      </c>
      <c r="B191" s="4" t="s">
        <v>650</v>
      </c>
      <c r="C191" s="4" t="s">
        <v>651</v>
      </c>
      <c r="D191" s="11" t="s">
        <v>652</v>
      </c>
      <c r="E191" s="5" t="n">
        <f aca="false">DATEVALUE(LEFT(D191,10))</f>
        <v>44855</v>
      </c>
      <c r="F191" s="4" t="s">
        <v>294</v>
      </c>
      <c r="G191" s="15" t="s">
        <v>69</v>
      </c>
      <c r="H191" s="4" t="s">
        <v>24</v>
      </c>
      <c r="I191" s="4" t="s">
        <v>25</v>
      </c>
      <c r="J191" s="4" t="s">
        <v>26</v>
      </c>
      <c r="K191" s="7" t="n">
        <v>45777</v>
      </c>
      <c r="L191" s="7" t="n">
        <v>46142</v>
      </c>
      <c r="M191" s="8" t="n">
        <f aca="false">DATEDIF(K191,L191,"m")</f>
        <v>12</v>
      </c>
      <c r="N191" s="8" t="n">
        <f aca="false">DATEDIF(E191,L191,"m")</f>
        <v>42</v>
      </c>
      <c r="O191" s="12" t="n">
        <v>1663</v>
      </c>
      <c r="P191" s="12" t="n">
        <f aca="false">O191/12</f>
        <v>138.583333333333</v>
      </c>
      <c r="Q191" s="4" t="n">
        <v>1</v>
      </c>
      <c r="R191" s="10" t="n">
        <f aca="false">IF(N191&lt;=12,N191*P191,O191)</f>
        <v>1663</v>
      </c>
      <c r="S191" s="4" t="s">
        <v>27</v>
      </c>
    </row>
    <row r="192" customFormat="false" ht="15" hidden="false" customHeight="false" outlineLevel="0" collapsed="false">
      <c r="A192" s="4" t="s">
        <v>28</v>
      </c>
      <c r="B192" s="4" t="s">
        <v>653</v>
      </c>
      <c r="C192" s="4" t="s">
        <v>654</v>
      </c>
      <c r="D192" s="11" t="s">
        <v>655</v>
      </c>
      <c r="E192" s="5" t="n">
        <f aca="false">DATEVALUE(LEFT(D192,10))</f>
        <v>44855</v>
      </c>
      <c r="F192" s="4" t="s">
        <v>141</v>
      </c>
      <c r="G192" s="15" t="s">
        <v>656</v>
      </c>
      <c r="H192" s="4" t="s">
        <v>24</v>
      </c>
      <c r="I192" s="4" t="s">
        <v>25</v>
      </c>
      <c r="J192" s="4" t="s">
        <v>26</v>
      </c>
      <c r="K192" s="7" t="n">
        <v>45777</v>
      </c>
      <c r="L192" s="7" t="n">
        <v>46142</v>
      </c>
      <c r="M192" s="8" t="n">
        <f aca="false">DATEDIF(K192,L192,"m")</f>
        <v>12</v>
      </c>
      <c r="N192" s="8" t="n">
        <f aca="false">DATEDIF(E192,L192,"m")</f>
        <v>42</v>
      </c>
      <c r="O192" s="12" t="n">
        <v>1663</v>
      </c>
      <c r="P192" s="12" t="n">
        <f aca="false">O192/12</f>
        <v>138.583333333333</v>
      </c>
      <c r="Q192" s="4" t="n">
        <v>1</v>
      </c>
      <c r="R192" s="10" t="n">
        <f aca="false">IF(N192&lt;=12,N192*P192,O192)</f>
        <v>1663</v>
      </c>
      <c r="S192" s="4" t="s">
        <v>27</v>
      </c>
    </row>
    <row r="193" customFormat="false" ht="15" hidden="false" customHeight="false" outlineLevel="0" collapsed="false">
      <c r="A193" s="4" t="s">
        <v>28</v>
      </c>
      <c r="B193" s="0" t="s">
        <v>229</v>
      </c>
      <c r="C193" s="23" t="s">
        <v>657</v>
      </c>
      <c r="D193" s="0" t="s">
        <v>658</v>
      </c>
      <c r="E193" s="5" t="n">
        <f aca="false">DATEVALUE(LEFT(D193,10))</f>
        <v>45980</v>
      </c>
      <c r="H193" s="4" t="s">
        <v>24</v>
      </c>
      <c r="I193" s="4" t="s">
        <v>25</v>
      </c>
      <c r="J193" s="4" t="s">
        <v>26</v>
      </c>
      <c r="K193" s="7" t="n">
        <v>45777</v>
      </c>
      <c r="L193" s="7" t="n">
        <v>46142</v>
      </c>
      <c r="M193" s="8" t="n">
        <f aca="false">DATEDIF(K193,L193,"m")</f>
        <v>12</v>
      </c>
      <c r="N193" s="8" t="n">
        <f aca="false">DATEDIF(E193,L193,"m")</f>
        <v>5</v>
      </c>
      <c r="O193" s="12" t="n">
        <v>1663</v>
      </c>
      <c r="P193" s="12" t="n">
        <f aca="false">O193/12</f>
        <v>138.583333333333</v>
      </c>
      <c r="Q193" s="4" t="n">
        <v>1</v>
      </c>
      <c r="R193" s="10" t="n">
        <f aca="false">IF(N193&lt;=12,N193*P193,O193)</f>
        <v>692.916666666667</v>
      </c>
      <c r="S193" s="4" t="s">
        <v>27</v>
      </c>
    </row>
    <row r="194" customFormat="false" ht="15" hidden="false" customHeight="false" outlineLevel="0" collapsed="false">
      <c r="A194" s="4" t="s">
        <v>28</v>
      </c>
      <c r="B194" s="0" t="s">
        <v>659</v>
      </c>
      <c r="C194" s="23" t="s">
        <v>660</v>
      </c>
      <c r="D194" s="0" t="s">
        <v>661</v>
      </c>
      <c r="E194" s="5" t="n">
        <f aca="false">DATEVALUE(LEFT(D194,10))</f>
        <v>45959</v>
      </c>
      <c r="H194" s="4" t="s">
        <v>24</v>
      </c>
      <c r="I194" s="4" t="s">
        <v>25</v>
      </c>
      <c r="J194" s="4" t="s">
        <v>26</v>
      </c>
      <c r="K194" s="7" t="n">
        <v>45777</v>
      </c>
      <c r="L194" s="7" t="n">
        <v>46142</v>
      </c>
      <c r="M194" s="8" t="n">
        <f aca="false">DATEDIF(K194,L194,"m")</f>
        <v>12</v>
      </c>
      <c r="N194" s="8" t="n">
        <f aca="false">DATEDIF(E194,L194,"m")</f>
        <v>6</v>
      </c>
      <c r="O194" s="12" t="n">
        <v>1663</v>
      </c>
      <c r="P194" s="12" t="n">
        <f aca="false">O194/12</f>
        <v>138.583333333333</v>
      </c>
      <c r="Q194" s="4" t="n">
        <v>1</v>
      </c>
      <c r="R194" s="10" t="n">
        <f aca="false">IF(N194&lt;=12,N194*P194,O194)</f>
        <v>831.5</v>
      </c>
      <c r="S194" s="4" t="s">
        <v>27</v>
      </c>
    </row>
    <row r="195" customFormat="false" ht="15" hidden="false" customHeight="false" outlineLevel="0" collapsed="false">
      <c r="A195" s="4" t="s">
        <v>28</v>
      </c>
      <c r="B195" s="0" t="s">
        <v>662</v>
      </c>
      <c r="C195" s="23" t="s">
        <v>663</v>
      </c>
      <c r="D195" s="0" t="s">
        <v>664</v>
      </c>
      <c r="E195" s="5" t="n">
        <f aca="false">DATEVALUE(LEFT(D195,10))</f>
        <v>45966</v>
      </c>
      <c r="H195" s="4" t="s">
        <v>24</v>
      </c>
      <c r="I195" s="4" t="s">
        <v>25</v>
      </c>
      <c r="J195" s="4" t="s">
        <v>26</v>
      </c>
      <c r="K195" s="7" t="n">
        <v>45777</v>
      </c>
      <c r="L195" s="7" t="n">
        <v>46142</v>
      </c>
      <c r="M195" s="8" t="n">
        <f aca="false">DATEDIF(K195,L195,"m")</f>
        <v>12</v>
      </c>
      <c r="N195" s="8" t="n">
        <f aca="false">DATEDIF(E195,L195,"m")</f>
        <v>5</v>
      </c>
      <c r="O195" s="12" t="n">
        <v>1663</v>
      </c>
      <c r="P195" s="12" t="n">
        <f aca="false">O195/12</f>
        <v>138.583333333333</v>
      </c>
      <c r="Q195" s="4" t="n">
        <v>1</v>
      </c>
      <c r="R195" s="10" t="n">
        <f aca="false">IF(N195&lt;=12,N195*P195,O195)</f>
        <v>692.916666666667</v>
      </c>
      <c r="S195" s="4" t="s">
        <v>27</v>
      </c>
    </row>
    <row r="196" customFormat="false" ht="15" hidden="false" customHeight="false" outlineLevel="0" collapsed="false">
      <c r="A196" s="4" t="s">
        <v>28</v>
      </c>
      <c r="B196" s="0" t="s">
        <v>665</v>
      </c>
      <c r="C196" s="23" t="s">
        <v>666</v>
      </c>
      <c r="D196" s="0" t="s">
        <v>667</v>
      </c>
      <c r="E196" s="5" t="n">
        <f aca="false">DATEVALUE(LEFT(D196,10))</f>
        <v>45952</v>
      </c>
      <c r="H196" s="4" t="s">
        <v>24</v>
      </c>
      <c r="I196" s="4" t="s">
        <v>25</v>
      </c>
      <c r="J196" s="4" t="s">
        <v>26</v>
      </c>
      <c r="K196" s="7" t="n">
        <v>45777</v>
      </c>
      <c r="L196" s="7" t="n">
        <v>46142</v>
      </c>
      <c r="M196" s="8" t="n">
        <f aca="false">DATEDIF(K196,L196,"m")</f>
        <v>12</v>
      </c>
      <c r="N196" s="8" t="n">
        <f aca="false">DATEDIF(E196,L196,"m")</f>
        <v>6</v>
      </c>
      <c r="O196" s="12" t="n">
        <v>1663</v>
      </c>
      <c r="P196" s="12" t="n">
        <f aca="false">O196/12</f>
        <v>138.583333333333</v>
      </c>
      <c r="Q196" s="4" t="n">
        <v>1</v>
      </c>
      <c r="R196" s="10" t="n">
        <f aca="false">IF(N196&lt;=12,N196*P196,O196)</f>
        <v>831.5</v>
      </c>
      <c r="S196" s="4" t="s">
        <v>27</v>
      </c>
    </row>
    <row r="197" customFormat="false" ht="15" hidden="false" customHeight="false" outlineLevel="0" collapsed="false">
      <c r="B197" s="0" t="s">
        <v>668</v>
      </c>
      <c r="C197" s="23" t="s">
        <v>669</v>
      </c>
      <c r="D197" s="0" t="s">
        <v>670</v>
      </c>
      <c r="E197" s="5" t="n">
        <f aca="false">DATEVALUE(LEFT(D197,10))</f>
        <v>45958</v>
      </c>
      <c r="G197" s="0" t="s">
        <v>671</v>
      </c>
      <c r="H197" s="4" t="s">
        <v>24</v>
      </c>
      <c r="I197" s="4" t="s">
        <v>25</v>
      </c>
      <c r="J197" s="4" t="s">
        <v>26</v>
      </c>
      <c r="K197" s="7" t="n">
        <v>45777</v>
      </c>
      <c r="L197" s="7" t="n">
        <v>46142</v>
      </c>
      <c r="M197" s="8" t="n">
        <f aca="false">DATEDIF(K197,L197,"m")</f>
        <v>12</v>
      </c>
      <c r="N197" s="8" t="n">
        <f aca="false">DATEDIF(E197,L197,"m")</f>
        <v>6</v>
      </c>
      <c r="O197" s="12" t="n">
        <v>1663</v>
      </c>
      <c r="P197" s="12" t="n">
        <f aca="false">O197/12</f>
        <v>138.583333333333</v>
      </c>
      <c r="Q197" s="4" t="n">
        <v>1</v>
      </c>
      <c r="R197" s="10" t="n">
        <f aca="false">IF(N197&lt;=12,N197*P197,O197)</f>
        <v>831.5</v>
      </c>
      <c r="S197" s="4" t="s">
        <v>27</v>
      </c>
    </row>
    <row r="198" customFormat="false" ht="15" hidden="false" customHeight="true" outlineLevel="0" collapsed="false">
      <c r="A198" s="4" t="s">
        <v>28</v>
      </c>
      <c r="B198" s="0" t="s">
        <v>672</v>
      </c>
      <c r="C198" s="23" t="s">
        <v>673</v>
      </c>
      <c r="D198" s="0" t="s">
        <v>674</v>
      </c>
      <c r="E198" s="5" t="n">
        <f aca="false">DATEVALUE(LEFT(D198,10))</f>
        <v>45946</v>
      </c>
      <c r="H198" s="4" t="s">
        <v>24</v>
      </c>
      <c r="I198" s="4" t="s">
        <v>25</v>
      </c>
      <c r="J198" s="4" t="s">
        <v>26</v>
      </c>
      <c r="K198" s="7" t="n">
        <v>45777</v>
      </c>
      <c r="L198" s="7" t="n">
        <v>46142</v>
      </c>
      <c r="M198" s="8" t="n">
        <f aca="false">DATEDIF(K198,L198,"m")</f>
        <v>12</v>
      </c>
      <c r="N198" s="8" t="n">
        <f aca="false">DATEDIF(E198,L198,"m")</f>
        <v>6</v>
      </c>
      <c r="O198" s="12" t="n">
        <v>1663</v>
      </c>
      <c r="P198" s="12" t="n">
        <f aca="false">O198/12</f>
        <v>138.583333333333</v>
      </c>
      <c r="Q198" s="4" t="n">
        <v>1</v>
      </c>
      <c r="R198" s="10" t="n">
        <f aca="false">IF(N198&lt;=12,N198*P198,O198)</f>
        <v>831.5</v>
      </c>
      <c r="S198" s="4" t="s">
        <v>27</v>
      </c>
    </row>
    <row r="199" customFormat="false" ht="15" hidden="false" customHeight="true" outlineLevel="0" collapsed="false">
      <c r="A199" s="4" t="s">
        <v>28</v>
      </c>
      <c r="B199" s="0" t="s">
        <v>675</v>
      </c>
      <c r="C199" s="23" t="s">
        <v>676</v>
      </c>
      <c r="D199" s="0" t="s">
        <v>677</v>
      </c>
      <c r="E199" s="5" t="n">
        <f aca="false">DATEVALUE(LEFT(D199,10))</f>
        <v>45959</v>
      </c>
      <c r="H199" s="4" t="s">
        <v>24</v>
      </c>
      <c r="I199" s="4" t="s">
        <v>25</v>
      </c>
      <c r="J199" s="4" t="s">
        <v>26</v>
      </c>
      <c r="K199" s="7" t="n">
        <v>45777</v>
      </c>
      <c r="L199" s="7" t="n">
        <v>46142</v>
      </c>
      <c r="M199" s="8" t="n">
        <f aca="false">DATEDIF(K199,L199,"m")</f>
        <v>12</v>
      </c>
      <c r="N199" s="8" t="n">
        <f aca="false">DATEDIF(E199,L199,"m")</f>
        <v>6</v>
      </c>
      <c r="O199" s="12" t="n">
        <v>1663</v>
      </c>
      <c r="P199" s="12" t="n">
        <f aca="false">O199/12</f>
        <v>138.583333333333</v>
      </c>
      <c r="Q199" s="4" t="n">
        <v>1</v>
      </c>
      <c r="R199" s="10" t="n">
        <f aca="false">IF(N199&lt;=12,N199*P199,O199)</f>
        <v>831.5</v>
      </c>
      <c r="S199" s="4" t="s">
        <v>27</v>
      </c>
    </row>
    <row r="200" customFormat="false" ht="15" hidden="false" customHeight="true" outlineLevel="0" collapsed="false">
      <c r="A200" s="4" t="s">
        <v>28</v>
      </c>
      <c r="B200" s="0" t="s">
        <v>678</v>
      </c>
      <c r="C200" s="23" t="s">
        <v>679</v>
      </c>
      <c r="D200" s="0" t="s">
        <v>680</v>
      </c>
      <c r="E200" s="5" t="n">
        <f aca="false">DATEVALUE(LEFT(D200,10))</f>
        <v>45951</v>
      </c>
      <c r="H200" s="4" t="s">
        <v>24</v>
      </c>
      <c r="I200" s="4" t="s">
        <v>25</v>
      </c>
      <c r="J200" s="4" t="s">
        <v>26</v>
      </c>
      <c r="K200" s="7" t="n">
        <v>45777</v>
      </c>
      <c r="L200" s="7" t="n">
        <v>46142</v>
      </c>
      <c r="M200" s="8" t="n">
        <f aca="false">DATEDIF(K200,L200,"m")</f>
        <v>12</v>
      </c>
      <c r="N200" s="8" t="n">
        <f aca="false">DATEDIF(E200,L200,"m")</f>
        <v>6</v>
      </c>
      <c r="O200" s="12" t="n">
        <v>1663</v>
      </c>
      <c r="P200" s="12" t="n">
        <f aca="false">O200/12</f>
        <v>138.583333333333</v>
      </c>
      <c r="Q200" s="4" t="n">
        <v>1</v>
      </c>
      <c r="R200" s="10" t="n">
        <f aca="false">IF(N200&lt;=12,N200*P200,O200)</f>
        <v>831.5</v>
      </c>
      <c r="S200" s="4" t="s">
        <v>27</v>
      </c>
    </row>
    <row r="201" customFormat="false" ht="15" hidden="false" customHeight="true" outlineLevel="0" collapsed="false">
      <c r="A201" s="4" t="s">
        <v>28</v>
      </c>
      <c r="B201" s="0" t="s">
        <v>681</v>
      </c>
      <c r="C201" s="23" t="s">
        <v>682</v>
      </c>
      <c r="D201" s="0" t="s">
        <v>683</v>
      </c>
      <c r="E201" s="5" t="n">
        <f aca="false">DATEVALUE(LEFT(D201,10))</f>
        <v>45972</v>
      </c>
      <c r="H201" s="4" t="s">
        <v>24</v>
      </c>
      <c r="I201" s="4" t="s">
        <v>25</v>
      </c>
      <c r="J201" s="4" t="s">
        <v>26</v>
      </c>
      <c r="K201" s="7" t="n">
        <v>45777</v>
      </c>
      <c r="L201" s="7" t="n">
        <v>46142</v>
      </c>
      <c r="M201" s="8" t="n">
        <f aca="false">DATEDIF(K201,L201,"m")</f>
        <v>12</v>
      </c>
      <c r="N201" s="8" t="n">
        <f aca="false">DATEDIF(E201,L201,"m")</f>
        <v>5</v>
      </c>
      <c r="O201" s="12" t="n">
        <v>1663</v>
      </c>
      <c r="P201" s="12" t="n">
        <f aca="false">O201/12</f>
        <v>138.583333333333</v>
      </c>
      <c r="Q201" s="4" t="n">
        <v>1</v>
      </c>
      <c r="R201" s="10" t="n">
        <f aca="false">IF(N201&lt;=12,N201*P201,O201)</f>
        <v>692.916666666667</v>
      </c>
      <c r="S201" s="4" t="s">
        <v>27</v>
      </c>
    </row>
    <row r="202" customFormat="false" ht="15" hidden="false" customHeight="true" outlineLevel="0" collapsed="false">
      <c r="A202" s="4" t="s">
        <v>28</v>
      </c>
      <c r="B202" s="0" t="s">
        <v>684</v>
      </c>
      <c r="C202" s="23" t="s">
        <v>685</v>
      </c>
      <c r="D202" s="0" t="s">
        <v>686</v>
      </c>
      <c r="E202" s="5" t="n">
        <f aca="false">DATEVALUE(LEFT(D202,10))</f>
        <v>45985</v>
      </c>
      <c r="H202" s="4" t="s">
        <v>24</v>
      </c>
      <c r="I202" s="4" t="s">
        <v>25</v>
      </c>
      <c r="J202" s="4" t="s">
        <v>26</v>
      </c>
      <c r="K202" s="7" t="n">
        <v>45777</v>
      </c>
      <c r="L202" s="7" t="n">
        <v>46142</v>
      </c>
      <c r="M202" s="8" t="n">
        <f aca="false">DATEDIF(K202,L202,"m")</f>
        <v>12</v>
      </c>
      <c r="N202" s="8" t="n">
        <f aca="false">DATEDIF(E202,L202,"m")</f>
        <v>5</v>
      </c>
      <c r="O202" s="12" t="n">
        <v>1663</v>
      </c>
      <c r="P202" s="12" t="n">
        <f aca="false">O202/12</f>
        <v>138.583333333333</v>
      </c>
      <c r="Q202" s="4" t="n">
        <v>1</v>
      </c>
      <c r="R202" s="10" t="n">
        <f aca="false">IF(N202&lt;=12,N202*P202,O202)</f>
        <v>692.916666666667</v>
      </c>
      <c r="S202" s="4" t="s">
        <v>27</v>
      </c>
    </row>
    <row r="203" customFormat="false" ht="15" hidden="false" customHeight="true" outlineLevel="0" collapsed="false">
      <c r="A203" s="4" t="s">
        <v>19</v>
      </c>
      <c r="B203" s="0" t="s">
        <v>687</v>
      </c>
      <c r="C203" s="23" t="s">
        <v>688</v>
      </c>
      <c r="D203" s="0" t="s">
        <v>689</v>
      </c>
      <c r="E203" s="5" t="n">
        <f aca="false">DATEVALUE(LEFT(D203,10))</f>
        <v>45972</v>
      </c>
      <c r="H203" s="4" t="s">
        <v>24</v>
      </c>
      <c r="I203" s="4" t="s">
        <v>25</v>
      </c>
      <c r="J203" s="4" t="s">
        <v>26</v>
      </c>
      <c r="K203" s="7" t="n">
        <v>45777</v>
      </c>
      <c r="L203" s="7" t="n">
        <v>46142</v>
      </c>
      <c r="M203" s="8" t="n">
        <f aca="false">DATEDIF(K203,L203,"m")</f>
        <v>12</v>
      </c>
      <c r="N203" s="8" t="n">
        <f aca="false">DATEDIF(E203,L203,"m")</f>
        <v>5</v>
      </c>
      <c r="O203" s="12" t="n">
        <v>1663</v>
      </c>
      <c r="P203" s="12" t="n">
        <f aca="false">O203/12</f>
        <v>138.583333333333</v>
      </c>
      <c r="Q203" s="4" t="n">
        <v>1</v>
      </c>
      <c r="R203" s="10" t="n">
        <f aca="false">IF(N203&lt;=12,N203*P203,O203)</f>
        <v>692.916666666667</v>
      </c>
      <c r="S203" s="4" t="s">
        <v>27</v>
      </c>
    </row>
    <row r="204" customFormat="false" ht="15" hidden="false" customHeight="true" outlineLevel="0" collapsed="false">
      <c r="A204" s="4" t="s">
        <v>28</v>
      </c>
      <c r="B204" s="0" t="s">
        <v>690</v>
      </c>
      <c r="C204" s="23" t="s">
        <v>691</v>
      </c>
      <c r="D204" s="0" t="s">
        <v>692</v>
      </c>
      <c r="E204" s="5" t="n">
        <f aca="false">DATEVALUE(LEFT(D204,10))</f>
        <v>45971</v>
      </c>
      <c r="H204" s="4" t="s">
        <v>24</v>
      </c>
      <c r="I204" s="4" t="s">
        <v>25</v>
      </c>
      <c r="J204" s="4" t="s">
        <v>26</v>
      </c>
      <c r="K204" s="7" t="n">
        <v>45777</v>
      </c>
      <c r="L204" s="7" t="n">
        <v>46142</v>
      </c>
      <c r="M204" s="8" t="n">
        <f aca="false">DATEDIF(K204,L204,"m")</f>
        <v>12</v>
      </c>
      <c r="N204" s="8" t="n">
        <f aca="false">DATEDIF(E204,L204,"m")</f>
        <v>5</v>
      </c>
      <c r="O204" s="12" t="n">
        <v>1663</v>
      </c>
      <c r="P204" s="12" t="n">
        <f aca="false">O204/12</f>
        <v>138.583333333333</v>
      </c>
      <c r="Q204" s="4" t="n">
        <v>1</v>
      </c>
      <c r="R204" s="10" t="n">
        <f aca="false">IF(N204&lt;=12,N204*P204,O204)</f>
        <v>692.916666666667</v>
      </c>
      <c r="S204" s="4" t="s">
        <v>27</v>
      </c>
    </row>
    <row r="205" customFormat="false" ht="15" hidden="false" customHeight="true" outlineLevel="0" collapsed="false">
      <c r="A205" s="4" t="s">
        <v>28</v>
      </c>
      <c r="B205" s="0" t="s">
        <v>693</v>
      </c>
      <c r="C205" s="23" t="s">
        <v>694</v>
      </c>
      <c r="D205" s="0" t="s">
        <v>695</v>
      </c>
      <c r="E205" s="5" t="n">
        <f aca="false">DATEVALUE(LEFT(D205,10))</f>
        <v>45972</v>
      </c>
      <c r="H205" s="4" t="s">
        <v>24</v>
      </c>
      <c r="I205" s="4" t="s">
        <v>25</v>
      </c>
      <c r="J205" s="4" t="s">
        <v>26</v>
      </c>
      <c r="K205" s="7" t="n">
        <v>45777</v>
      </c>
      <c r="L205" s="7" t="n">
        <v>46142</v>
      </c>
      <c r="M205" s="8" t="n">
        <f aca="false">DATEDIF(K205,L205,"m")</f>
        <v>12</v>
      </c>
      <c r="N205" s="8" t="n">
        <f aca="false">DATEDIF(E205,L205,"m")</f>
        <v>5</v>
      </c>
      <c r="O205" s="12" t="n">
        <v>1663</v>
      </c>
      <c r="P205" s="12" t="n">
        <f aca="false">O205/12</f>
        <v>138.583333333333</v>
      </c>
      <c r="Q205" s="4" t="n">
        <v>1</v>
      </c>
      <c r="R205" s="10" t="n">
        <f aca="false">IF(N205&lt;=12,N205*P205,O205)</f>
        <v>692.916666666667</v>
      </c>
      <c r="S205" s="4" t="s">
        <v>27</v>
      </c>
    </row>
    <row r="206" customFormat="false" ht="15" hidden="false" customHeight="true" outlineLevel="0" collapsed="false">
      <c r="A206" s="4" t="s">
        <v>28</v>
      </c>
      <c r="B206" s="0" t="s">
        <v>696</v>
      </c>
      <c r="C206" s="23" t="s">
        <v>697</v>
      </c>
      <c r="D206" s="0" t="s">
        <v>698</v>
      </c>
      <c r="E206" s="5" t="n">
        <f aca="false">DATEVALUE(LEFT(D206,10))</f>
        <v>45972</v>
      </c>
      <c r="H206" s="4" t="s">
        <v>24</v>
      </c>
      <c r="I206" s="4" t="s">
        <v>25</v>
      </c>
      <c r="J206" s="4" t="s">
        <v>26</v>
      </c>
      <c r="K206" s="7" t="n">
        <v>45777</v>
      </c>
      <c r="L206" s="7" t="n">
        <v>46142</v>
      </c>
      <c r="M206" s="8" t="n">
        <f aca="false">DATEDIF(K206,L206,"m")</f>
        <v>12</v>
      </c>
      <c r="N206" s="8" t="n">
        <f aca="false">DATEDIF(E206,L206,"m")</f>
        <v>5</v>
      </c>
      <c r="O206" s="12" t="n">
        <v>1663</v>
      </c>
      <c r="P206" s="12" t="n">
        <f aca="false">O206/12</f>
        <v>138.583333333333</v>
      </c>
      <c r="Q206" s="4" t="n">
        <v>1</v>
      </c>
      <c r="R206" s="10" t="n">
        <f aca="false">IF(N206&lt;=12,N206*P206,O206)</f>
        <v>692.916666666667</v>
      </c>
      <c r="S206" s="4" t="s">
        <v>27</v>
      </c>
    </row>
  </sheetData>
  <autoFilter ref="A1:S192"/>
  <hyperlinks>
    <hyperlink ref="C195" r:id="rId1" display="estagio4@grupoflexivel.com.br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2025-10-14T15:25:30Z</dcterms:created>
  <dc:creator>Lucas Braun</dc:creator>
  <dc:description/>
  <dc:language>pt-BR</dc:language>
  <cp:lastModifiedBy/>
  <dcterms:modified xsi:type="dcterms:W3CDTF">2025-12-02T11:33:59Z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